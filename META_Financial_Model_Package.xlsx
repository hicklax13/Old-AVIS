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hermes-agent\"/>
    </mc:Choice>
  </mc:AlternateContent>
  <xr:revisionPtr revIDLastSave="0" documentId="11_B55C3A6A601FA2BEA49C357CC8522288D234F0B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Market &amp; Technicals" sheetId="2" r:id="rId2"/>
    <sheet name="Price History" sheetId="3" r:id="rId3"/>
    <sheet name="Income Statement" sheetId="4" r:id="rId4"/>
    <sheet name="Balance Sheet" sheetId="5" r:id="rId5"/>
    <sheet name="Cash Flow" sheetId="6" r:id="rId6"/>
    <sheet name="Ratios &amp; Margins" sheetId="7" r:id="rId7"/>
    <sheet name="3-Statement Model" sheetId="8" r:id="rId8"/>
    <sheet name="DCF Model" sheetId="9" r:id="rId9"/>
    <sheet name="Comps Analysis" sheetId="10" r:id="rId10"/>
    <sheet name="LBO Model" sheetId="11" r:id="rId11"/>
    <sheet name="Merger Model" sheetId="12" r:id="rId12"/>
    <sheet name="Analyst Estimates" sheetId="13" r:id="rId13"/>
    <sheet name="Sources" sheetId="14" r:id="rId14"/>
  </sheets>
  <calcPr calcId="0"/>
</workbook>
</file>

<file path=xl/sharedStrings.xml><?xml version="1.0" encoding="utf-8"?>
<sst xmlns="http://schemas.openxmlformats.org/spreadsheetml/2006/main" count="660" uniqueCount="561">
  <si>
    <t>META PLATFORMS, INC. (NASDAQ: META) — FULL FINANCIAL MODEL PACKAGE</t>
  </si>
  <si>
    <t>Historical financial statements, integrated projections, DCF, LBO, merger, comps &amp; technical analysis</t>
  </si>
  <si>
    <t>Prepared 2026-09-14 11:26 PM ET  •  All data real &amp; sourced as of market close 2026-09-14</t>
  </si>
  <si>
    <t>Last close</t>
  </si>
  <si>
    <t>$665.60</t>
  </si>
  <si>
    <t>Day change</t>
  </si>
  <si>
    <t>+17.57 (+2.71%)</t>
  </si>
  <si>
    <t>52-week range</t>
  </si>
  <si>
    <t>$520.26 – $790.80</t>
  </si>
  <si>
    <t>Market cap (approx.)</t>
  </si>
  <si>
    <t>$1,677.98B</t>
  </si>
  <si>
    <t>FY2025 revenue</t>
  </si>
  <si>
    <t>$200.97B</t>
  </si>
  <si>
    <t>FY2025 net income</t>
  </si>
  <si>
    <t>$60.46B</t>
  </si>
  <si>
    <t>FY2025 EPS (diluted)</t>
  </si>
  <si>
    <t>$23.49</t>
  </si>
  <si>
    <t>Consensus 2026 EPS</t>
  </si>
  <si>
    <t>$31.72</t>
  </si>
  <si>
    <t>WORKBOOK CONTENTS</t>
  </si>
  <si>
    <t>Market &amp; Technicals</t>
  </si>
  <si>
    <t>Real-time quote, valuation snapshot, technical indicators (RSI/SMA/MACD/ATR/beta)</t>
  </si>
  <si>
    <t>Price History</t>
  </si>
  <si>
    <t>10 years of monthly closes + daily price &amp; return statistics</t>
  </si>
  <si>
    <t>Income Statement</t>
  </si>
  <si>
    <t>FY2019–FY2025 actual (SEC) + quarterly + FY2026E–FY2030E projections</t>
  </si>
  <si>
    <t>Balance Sheet</t>
  </si>
  <si>
    <t>FY2019–FY2025 actual + projected assets/liabilities/equity</t>
  </si>
  <si>
    <t>Cash Flow</t>
  </si>
  <si>
    <t>FY2019–FY2025 actual + projected operating/FCF/buybacks/dividends</t>
  </si>
  <si>
    <t>Ratios &amp; Margins</t>
  </si>
  <si>
    <t>Growth, profitability, returns, leverage, and per-share metrics</t>
  </si>
  <si>
    <t>3-Statement Model</t>
  </si>
  <si>
    <t>Driver-based integrated model with assumption block and scenario toggles</t>
  </si>
  <si>
    <t>DCF Model</t>
  </si>
  <si>
    <t>FCFF + WACC + terminal value, base/bull/bear + sensitivity matrix</t>
  </si>
  <si>
    <t>Comps Analysis</t>
  </si>
  <si>
    <t>Peer multiples (GOOGL/MSFT/AAPL/AMZN/NFLX/PINS/SNAP) + implied valuation</t>
  </si>
  <si>
    <t>LBO Model</t>
  </si>
  <si>
    <t>Illustrative leveraged buyout — entry, debt schedule, returns (IRR/MOIC)</t>
  </si>
  <si>
    <t>Merger Model</t>
  </si>
  <si>
    <t>Illustrative accretion/dilution for a hypothetical acquisition</t>
  </si>
  <si>
    <t>Analyst Estimates</t>
  </si>
  <si>
    <t>Consensus revenue/EPS, price targets, ratings &amp; news timeline</t>
  </si>
  <si>
    <t>Sources</t>
  </si>
  <si>
    <t>Grounded citations for every data point</t>
  </si>
  <si>
    <t>METHODOLOGY &amp; KEY ASSUMPTIONS</t>
  </si>
  <si>
    <t>• Historical financials are pulled verbatim from SEC EDGAR XBRL (Meta CIK 0001326801) — income statement, balance sheet, cash flow, quarterly.</t>
  </si>
  <si>
    <t>• Market data, price history &amp; technicals are live from Twelve Data (NASDAQ, 2026-09-14 close).</t>
  </si>
  <si>
    <t>• Analyst consensus, valuation ratios &amp; peer comps are from Yahoo Finance / MarketWatch / stockanalysis.com.</t>
  </si>
  <si>
    <t>• Projections are a driver-based base case anchored to consensus FY26 revenue ($254.2B) and EPS (~$31.7), with margin recovery modeled thereafter.</t>
  </si>
  <si>
    <t>• Noted anomalies: FY2025 effective tax rate rose to ~29.6% (vs 11.8% in 2024) and Q3 2025 net income fell to $2.7B on a one-time item — see 3-Statement Model.</t>
  </si>
  <si>
    <t>• DCF WACC = 10.0% (CAPM: Rf 4.2% + β 1.05 × ERP 5.5%); terminal growth 3.5%.</t>
  </si>
  <si>
    <t>• LBO &amp; Merger are illustrative: META's ~$1.7T scale makes a traditional LBO impractical; included for completeness.</t>
  </si>
  <si>
    <t>DISCLAIMER</t>
  </si>
  <si>
    <t>This workbook is for educational and informational purposes only and is not investment advice, an offer, or a solicitation. Projections and illustrative models contain forward-looking assumptions that may prove materially incorrect. Past performance does not guarantee future results. Verify all data before making decisions.</t>
  </si>
  <si>
    <t>META — Market Snapshot &amp; Technical Analysis</t>
  </si>
  <si>
    <t>Live data via Twelve Data — NASDAQ close 2026-09-14</t>
  </si>
  <si>
    <t>Metric</t>
  </si>
  <si>
    <t>Value</t>
  </si>
  <si>
    <t>Ticker / Name</t>
  </si>
  <si>
    <t>META — Meta Platforms Inc. Class A</t>
  </si>
  <si>
    <t>Exchange</t>
  </si>
  <si>
    <t>NASDAQ (XNGS)</t>
  </si>
  <si>
    <t>Previous close</t>
  </si>
  <si>
    <t>$648.03</t>
  </si>
  <si>
    <t>+$17.57  (+2.71%)</t>
  </si>
  <si>
    <t>Volume</t>
  </si>
  <si>
    <t>19,300,300</t>
  </si>
  <si>
    <t>Open / High / Low</t>
  </si>
  <si>
    <t>$657.83 / $668.60 / $649.22</t>
  </si>
  <si>
    <t>Avg volume (30d)</t>
  </si>
  <si>
    <t>19,400,430</t>
  </si>
  <si>
    <t>52-week low / high</t>
  </si>
  <si>
    <t>$520.26 / $790.80</t>
  </si>
  <si>
    <t>Position in range</t>
  </si>
  <si>
    <t>53.7%</t>
  </si>
  <si>
    <t>Shares (approx., M)</t>
  </si>
  <si>
    <t>2,521</t>
  </si>
  <si>
    <t>Technical indicator</t>
  </si>
  <si>
    <t>Signal / Interpretation</t>
  </si>
  <si>
    <t>RSI (14-day)</t>
  </si>
  <si>
    <t>70.77</t>
  </si>
  <si>
    <t>Overbought (&gt;70) — short-term momentum stretched</t>
  </si>
  <si>
    <t>SMA-50</t>
  </si>
  <si>
    <t>$602.56</t>
  </si>
  <si>
    <t>Price above 50-day → near-term uptrend</t>
  </si>
  <si>
    <t>SMA-200</t>
  </si>
  <si>
    <t>$623.49</t>
  </si>
  <si>
    <t>Price above 200-day → long-term uptrend</t>
  </si>
  <si>
    <t>MACD (12/26/9)</t>
  </si>
  <si>
    <t>17.16</t>
  </si>
  <si>
    <t>Bullish — MACD above signal line, positive histogram</t>
  </si>
  <si>
    <t>MACD signal / hist</t>
  </si>
  <si>
    <t>6.74 / 10.41</t>
  </si>
  <si>
    <t>Histogram expanding → momentum building</t>
  </si>
  <si>
    <t>ATR (14)</t>
  </si>
  <si>
    <t>21.31</t>
  </si>
  <si>
    <t>~3.2% daily true range — elevated volatility</t>
  </si>
  <si>
    <t>Beta vs SPY (60d)</t>
  </si>
  <si>
    <t>0.49</t>
  </si>
  <si>
    <t>Low short-term beta (below 1.0)</t>
  </si>
  <si>
    <t>P/E (TTM)</t>
  </si>
  <si>
    <t>25.0x</t>
  </si>
  <si>
    <t>Below 3-yr average (~27x)</t>
  </si>
  <si>
    <t>Forward P/E</t>
  </si>
  <si>
    <t>19.9x</t>
  </si>
  <si>
    <t>Based on FY2027 consensus EPS</t>
  </si>
  <si>
    <t>EV / EBITDA</t>
  </si>
  <si>
    <t>15.2x</t>
  </si>
  <si>
    <t>Reasonable vs mega-cap peer median</t>
  </si>
  <si>
    <t>KEY STATISTICS (sourced, as reported)</t>
  </si>
  <si>
    <t>Trailing P/E</t>
  </si>
  <si>
    <t>24.3–25.0x</t>
  </si>
  <si>
    <t>PEG ratio</t>
  </si>
  <si>
    <t>0.99</t>
  </si>
  <si>
    <t>EV/FCF</t>
  </si>
  <si>
    <t>40.6x</t>
  </si>
  <si>
    <t>Dividend (annual)</t>
  </si>
  <si>
    <t>$2.10/share</t>
  </si>
  <si>
    <t>Dividend yield</t>
  </si>
  <si>
    <t>0.32%</t>
  </si>
  <si>
    <t>FY2025 revenue growth</t>
  </si>
  <si>
    <t>+22.2%</t>
  </si>
  <si>
    <t>FY2026E revenue growth (cons.)</t>
  </si>
  <si>
    <t>+26.5%</t>
  </si>
  <si>
    <t>FY2025 net margin</t>
  </si>
  <si>
    <t>30.1%</t>
  </si>
  <si>
    <t>FY2026E net margin (cons.)</t>
  </si>
  <si>
    <t>~31%</t>
  </si>
  <si>
    <t>META — Price History (10 years, monthly)</t>
  </si>
  <si>
    <t>Monthly closes via Twelve Data, 2016-10 → 2026-09</t>
  </si>
  <si>
    <t>Date</t>
  </si>
  <si>
    <t>Close</t>
  </si>
  <si>
    <t>Returns &amp; stats</t>
  </si>
  <si>
    <t>1-month return</t>
  </si>
  <si>
    <t>3-month return</t>
  </si>
  <si>
    <t>6-month return</t>
  </si>
  <si>
    <t>1-year return</t>
  </si>
  <si>
    <t>3-year return (ann.)</t>
  </si>
  <si>
    <t>5-year return (ann.)</t>
  </si>
  <si>
    <t>CAGR since 2016 (ann.)</t>
  </si>
  <si>
    <t>All-time high (52-wk)</t>
  </si>
  <si>
    <t>$790.80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</si>
  <si>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</si>
  <si>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</si>
  <si>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</si>
  <si>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</si>
  <si>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</si>
  <si>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</si>
  <si>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</si>
  <si>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</si>
  <si>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</si>
  <si>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</si>
  <si>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</si>
  <si>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</si>
  <si>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</si>
  <si>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</si>
  <si>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</si>
  <si>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</si>
  <si>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</si>
  <si>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</si>
  <si>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</si>
  <si>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</si>
  <si>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</si>
  <si>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</si>
  <si>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</si>
  <si>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</si>
  <si>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</si>
  <si>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</si>
  <si>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</si>
  <si>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</si>
  <si>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</si>
  <si>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</si>
  <si>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</si>
  <si>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</si>
  <si>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</si>
  <si>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</si>
  <si>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</si>
  <si>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</si>
  <si>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</si>
  <si>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</si>
  <si>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</si>
  <si>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</si>
  <si>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</si>
  <si>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</si>
  <si>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</si>
  <si>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</si>
  <si>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</si>
  <si>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</si>
  <si>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</si>
  <si>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</si>
  <si>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</si>
  <si>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</si>
  <si>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</si>
  <si>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</si>
  <si>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</si>
  <si>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</si>
  <si>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</si>
  <si>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</si>
  <si>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</si>
  <si>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</si>
  <si>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</si>
  <si>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</si>
  <si>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</si>
  <si>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</si>
  <si>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</si>
  <si>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</si>
  <si>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</si>
  <si>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</si>
  <si>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</si>
  <si>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</si>
  <si>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</si>
  <si>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</si>
  <si>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</si>
  <si>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</si>
  <si>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</si>
  <si>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</si>
  <si>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</si>
  <si>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</si>
  <si>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</si>
  <si>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</si>
  <si>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</si>
  <si>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</si>
  <si>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</si>
  <si>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</si>
  <si>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</si>
  <si>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</si>
  <si>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</si>
  <si>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</si>
  <si>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</si>
  <si>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</si>
  <si>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</si>
  <si>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</si>
  <si>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</si>
  <si>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</si>
  <si>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</si>
  <si>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</si>
  <si>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</si>
  <si>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</si>
  <si>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</si>
  <si>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</si>
  <si>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</si>
  <si>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</si>
  <si>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</si>
  <si>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</si>
  <si>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</si>
  <si>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</si>
  <si>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</si>
  <si>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</si>
  <si>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</si>
  <si>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</si>
  <si>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</si>
  <si>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</si>
  <si>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</si>
  <si>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</si>
  <si>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</si>
  <si>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</si>
  <si>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</si>
  <si>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</si>
  <si>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</si>
  <si>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</si>
  <si>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</si>
  <si>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</si>
  <si>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META — Income Statement ($M)</t>
  </si>
  <si>
    <t>FY2019–FY2025 actual (SEC XBRL) • FY2026E–FY2030E projections</t>
  </si>
  <si>
    <t>Line item</t>
  </si>
  <si>
    <t>2019</t>
  </si>
  <si>
    <t>2020</t>
  </si>
  <si>
    <t>2021</t>
  </si>
  <si>
    <t>2022</t>
  </si>
  <si>
    <t>2023</t>
  </si>
  <si>
    <t>2024</t>
  </si>
  <si>
    <t>2025</t>
  </si>
  <si>
    <t>2026E</t>
  </si>
  <si>
    <t>2027E</t>
  </si>
  <si>
    <t>2028E</t>
  </si>
  <si>
    <t>2029E</t>
  </si>
  <si>
    <t>2030E</t>
  </si>
  <si>
    <t>REVENUE &amp; COSTS</t>
  </si>
  <si>
    <t>Revenue</t>
  </si>
  <si>
    <t>Cost of revenue</t>
  </si>
  <si>
    <t>Gross profit</t>
  </si>
  <si>
    <t>OPERATING EXPENSES</t>
  </si>
  <si>
    <t>Research &amp; development</t>
  </si>
  <si>
    <t>Sales &amp; marketing</t>
  </si>
  <si>
    <t>General &amp; administrative</t>
  </si>
  <si>
    <t>Total operating expenses</t>
  </si>
  <si>
    <t>Operating income</t>
  </si>
  <si>
    <t>BELOW OPERATING LINE</t>
  </si>
  <si>
    <t>Interest &amp; other income (expense)</t>
  </si>
  <si>
    <t>Pre-tax income</t>
  </si>
  <si>
    <t>Income tax expense</t>
  </si>
  <si>
    <t>Net income</t>
  </si>
  <si>
    <t>PER-SHARE &amp; SUPPORTING</t>
  </si>
  <si>
    <t>EPS — diluted ($)</t>
  </si>
  <si>
    <t>Weighted shares (M)</t>
  </si>
  <si>
    <t>D&amp;A</t>
  </si>
  <si>
    <t>Stock-based compensation</t>
  </si>
  <si>
    <t>META — Balance Sheet ($M)</t>
  </si>
  <si>
    <t>FY2019–FY2025 actual (SEC) • projected 2026E–2030E</t>
  </si>
  <si>
    <t>ASSETS</t>
  </si>
  <si>
    <t>Cash &amp; equivalents</t>
  </si>
  <si>
    <t>Short-term investments</t>
  </si>
  <si>
    <t>Accounts receivable</t>
  </si>
  <si>
    <t>Total current assets</t>
  </si>
  <si>
    <t>Property &amp; equipment, net</t>
  </si>
  <si>
    <t>Operating lease ROU asset</t>
  </si>
  <si>
    <t>Goodwill</t>
  </si>
  <si>
    <t>Intangible assets, net</t>
  </si>
  <si>
    <t>TOTAL ASSETS</t>
  </si>
  <si>
    <t>LIABILITIES</t>
  </si>
  <si>
    <t>Current liabilities</t>
  </si>
  <si>
    <t>Long-term debt</t>
  </si>
  <si>
    <t>Operating lease liabilities</t>
  </si>
  <si>
    <t>TOTAL LIABILITIES</t>
  </si>
  <si>
    <t>EQUITY</t>
  </si>
  <si>
    <t>Additional paid-in capital</t>
  </si>
  <si>
    <t>Retained earnings</t>
  </si>
  <si>
    <t>TOTAL EQUITY</t>
  </si>
  <si>
    <t>Liabilities + Equity</t>
  </si>
  <si>
    <t>META — Cash Flow ($M)</t>
  </si>
  <si>
    <t>OPERATING</t>
  </si>
  <si>
    <t>Operating cash flow</t>
  </si>
  <si>
    <t xml:space="preserve">  D&amp;A (add-back)</t>
  </si>
  <si>
    <t xml:space="preserve">  Stock-based comp (add-back)</t>
  </si>
  <si>
    <t>INVESTING</t>
  </si>
  <si>
    <t>Capital expenditures</t>
  </si>
  <si>
    <t>FREE CASH FLOW (OCF − CapEx)</t>
  </si>
  <si>
    <t>FINANCING</t>
  </si>
  <si>
    <t>Share repurchases</t>
  </si>
  <si>
    <t>Dividends paid</t>
  </si>
  <si>
    <t>Net debt issued / (repaid)</t>
  </si>
  <si>
    <t>META — Ratios &amp; Margins</t>
  </si>
  <si>
    <t>Computed from actual statements and projections</t>
  </si>
  <si>
    <t>GROWTH (YoY)</t>
  </si>
  <si>
    <t>Revenue growth</t>
  </si>
  <si>
    <t>Net income growth</t>
  </si>
  <si>
    <t>PROFITABILITY</t>
  </si>
  <si>
    <t>Gross margin</t>
  </si>
  <si>
    <t>Operating margin</t>
  </si>
  <si>
    <t>Net margin</t>
  </si>
  <si>
    <t>Effective tax rate</t>
  </si>
  <si>
    <t>RETURNS &amp; EFFICIENCY</t>
  </si>
  <si>
    <t>ROE</t>
  </si>
  <si>
    <t>ROA</t>
  </si>
  <si>
    <t>FCF margin</t>
  </si>
  <si>
    <t>LEVERAGE</t>
  </si>
  <si>
    <t>Debt / EBITDA</t>
  </si>
  <si>
    <t>Debt / Equity</t>
  </si>
  <si>
    <t>Net cash (cash+ST inv − LT debt)</t>
  </si>
  <si>
    <t>META — 3-Statement Model (Driver-Based)</t>
  </si>
  <si>
    <t>Integrated IS/BS/CF projections 2026E–2030E with assumption block</t>
  </si>
  <si>
    <t>ASSUMPTION BLOCK (edit these drivers)</t>
  </si>
  <si>
    <t>Driver</t>
  </si>
  <si>
    <t>R&amp;D % of revenue</t>
  </si>
  <si>
    <t>S&amp;M % of revenue</t>
  </si>
  <si>
    <t>G&amp;A % of revenue</t>
  </si>
  <si>
    <t>Net interest &amp; other ($M)</t>
  </si>
  <si>
    <t>Capital expenditures ($M)</t>
  </si>
  <si>
    <t>D&amp;A % of revenue</t>
  </si>
  <si>
    <t>SBC % of revenue</t>
  </si>
  <si>
    <t>Buybacks ($M)</t>
  </si>
  <si>
    <t>Dividend per share ($)</t>
  </si>
  <si>
    <t>OUTPUT SUMMARY ($M)</t>
  </si>
  <si>
    <t>Output</t>
  </si>
  <si>
    <t>EPS (diluted)</t>
  </si>
  <si>
    <t>Free cash flow</t>
  </si>
  <si>
    <t>End cash</t>
  </si>
  <si>
    <t>End total debt</t>
  </si>
  <si>
    <t>End equity</t>
  </si>
  <si>
    <t>SCENARIO GUIDANCE</t>
  </si>
  <si>
    <t>Base case</t>
  </si>
  <si>
    <t>Anchored to consensus FY26 revenue $254.2B / EPS ~$31.7; margin recovery through 2030.</t>
  </si>
  <si>
    <t>Bull case</t>
  </si>
  <si>
    <t>Revenue growth +15% vs base, +2% margin; see DCF sheet for per-share impact.</t>
  </si>
  <si>
    <t>Bear case</t>
  </si>
  <si>
    <t>Revenue growth −20% vs base, −3% margin; slower AI monetization / higher capex.</t>
  </si>
  <si>
    <t>Anomaly (FY2025)</t>
  </si>
  <si>
    <t>Effective tax rate 29.6% (vs 11.8% FY2024) and Q3-25 net income of $2.7B reflect one-time items; model normalizes to 20%.</t>
  </si>
  <si>
    <t>META — Discounted Cash Flow (FCFF)</t>
  </si>
  <si>
    <t>5-yr explicit FCFF + Gordon terminal value; WACC 10.0%, g 3.5%</t>
  </si>
  <si>
    <t>WACC (CAPM)</t>
  </si>
  <si>
    <t>Risk-free rate (10Y UST)</t>
  </si>
  <si>
    <t>Equity risk premium</t>
  </si>
  <si>
    <t>Beta (normalized)</t>
  </si>
  <si>
    <t>Cost of equity</t>
  </si>
  <si>
    <t>Pre-tax cost of debt</t>
  </si>
  <si>
    <t>Tax rate</t>
  </si>
  <si>
    <t>After-tax cost of debt</t>
  </si>
  <si>
    <t>Equity weight / Debt weight</t>
  </si>
  <si>
    <t>95% / 5%</t>
  </si>
  <si>
    <t>WACC</t>
  </si>
  <si>
    <t>SCENARIO RESULTS (per share)</t>
  </si>
  <si>
    <t>Scenario</t>
  </si>
  <si>
    <t>PV of FCFF</t>
  </si>
  <si>
    <t>PV of TV</t>
  </si>
  <si>
    <t>Enterprise value</t>
  </si>
  <si>
    <t>Net cash/(debt)</t>
  </si>
  <si>
    <t>Equity value</t>
  </si>
  <si>
    <t>Value/share</t>
  </si>
  <si>
    <t>Current price</t>
  </si>
  <si>
    <t>Base-case implied upside</t>
  </si>
  <si>
    <t>EXPLICIT FCFF BRIDGE ($M) — Base case</t>
  </si>
  <si>
    <t>Item</t>
  </si>
  <si>
    <t>FCFF 2026E</t>
  </si>
  <si>
    <t>FCFF 2027E</t>
  </si>
  <si>
    <t>FCFF 2028E</t>
  </si>
  <si>
    <t>FCFF 2029E</t>
  </si>
  <si>
    <t>FCFF 2030E</t>
  </si>
  <si>
    <t>SENSITIVITY — implied value/share (WACC × terminal growth)</t>
  </si>
  <si>
    <t>g \ WACC</t>
  </si>
  <si>
    <t>8.0%</t>
  </si>
  <si>
    <t>9.0%</t>
  </si>
  <si>
    <t>10.0%</t>
  </si>
  <si>
    <t>11.0%</t>
  </si>
  <si>
    <t>12.0%</t>
  </si>
  <si>
    <t>2.0%</t>
  </si>
  <si>
    <t>2.5%</t>
  </si>
  <si>
    <t>3.0%</t>
  </si>
  <si>
    <t>3.5%</t>
  </si>
  <si>
    <t>4.0%</t>
  </si>
  <si>
    <t>4.5%</t>
  </si>
  <si>
    <t>META — Comparable Company Analysis</t>
  </si>
  <si>
    <t>Peer multiples as of 2026-09-14 (prices via Twelve Data; multiples from stockanalysis.com/Yahoo)</t>
  </si>
  <si>
    <t>Ticker</t>
  </si>
  <si>
    <t>Company</t>
  </si>
  <si>
    <t>Price</t>
  </si>
  <si>
    <t>Market cap</t>
  </si>
  <si>
    <t>Fwd P/E</t>
  </si>
  <si>
    <t>EV/EBITDA</t>
  </si>
  <si>
    <t>META</t>
  </si>
  <si>
    <t>Meta Platforms</t>
  </si>
  <si>
    <t>GOOGL</t>
  </si>
  <si>
    <t>Alphabet</t>
  </si>
  <si>
    <t>MSFT</t>
  </si>
  <si>
    <t>Microsoft</t>
  </si>
  <si>
    <t>AAPL</t>
  </si>
  <si>
    <t>Apple</t>
  </si>
  <si>
    <t>AMZN</t>
  </si>
  <si>
    <t>Amazon</t>
  </si>
  <si>
    <t>NFLX</t>
  </si>
  <si>
    <t>Netflix</t>
  </si>
  <si>
    <t>PINS</t>
  </si>
  <si>
    <t>Pinterest</t>
  </si>
  <si>
    <t>SNAP</t>
  </si>
  <si>
    <t>Snap</t>
  </si>
  <si>
    <t>IMPLIED META VALUATION (peer multiples × META metrics)</t>
  </si>
  <si>
    <t>Peer median P/E (TTM) → META TTM EPS $26.55</t>
  </si>
  <si>
    <t>Implied value/share</t>
  </si>
  <si>
    <t>Peer median fwd P/E (25x) → META FY26 EPS $31.72</t>
  </si>
  <si>
    <t>META at peer median EV/EBITDA (~17x)</t>
  </si>
  <si>
    <t>Implied EV/share</t>
  </si>
  <si>
    <t>META — Leveraged Buyout (ILLUSTRATIVE)</t>
  </si>
  <si>
    <t>Hypothetical take-private; shown for completeness — META's scale makes a real LBO impractical</t>
  </si>
  <si>
    <t>ENTRY ASSUMPTIONS</t>
  </si>
  <si>
    <t>LTM EBITDA ($M)</t>
  </si>
  <si>
    <t>Entry EV ($M)</t>
  </si>
  <si>
    <t>Entry EV / EBITDA</t>
  </si>
  <si>
    <t>Sponsor equity (25%)</t>
  </si>
  <si>
    <t>Debt (75%)</t>
  </si>
  <si>
    <t>Debt interest rate</t>
  </si>
  <si>
    <t>EBITDA growth</t>
  </si>
  <si>
    <t>Capex % of EBITDA</t>
  </si>
  <si>
    <t>DEBT SCHEDULE &amp; CASH FLOWS ($M)</t>
  </si>
  <si>
    <t>Year</t>
  </si>
  <si>
    <t>EBITDA</t>
  </si>
  <si>
    <t>Capex</t>
  </si>
  <si>
    <t>Interest</t>
  </si>
  <si>
    <t>Tax</t>
  </si>
  <si>
    <t>FCF</t>
  </si>
  <si>
    <t>Debt balance</t>
  </si>
  <si>
    <t>RETURNS</t>
  </si>
  <si>
    <t>Exit EV ($M)</t>
  </si>
  <si>
    <t>Exit equity value ($M)</t>
  </si>
  <si>
    <t>MOIC (equity)</t>
  </si>
  <si>
    <t>IRR (5-yr)</t>
  </si>
  <si>
    <t>META — Merger Model (ILLUSTRATIVE)</t>
  </si>
  <si>
    <t>Hypothetical acquisition of an AI-AdTech target; accretion/dilution analysis</t>
  </si>
  <si>
    <t>DEAL TERMS</t>
  </si>
  <si>
    <t>Acquirer TTM EPS</t>
  </si>
  <si>
    <t>Target TTM net income ($M)</t>
  </si>
  <si>
    <t>Offer price per target share</t>
  </si>
  <si>
    <t>Implied premium</t>
  </si>
  <si>
    <t>Purchase price ($M)</t>
  </si>
  <si>
    <t>Cash portion (50%)</t>
  </si>
  <si>
    <t>Stock portion (50%)</t>
  </si>
  <si>
    <t>New acquirer shares issued (M)</t>
  </si>
  <si>
    <t>Pre-tax interest on new debt</t>
  </si>
  <si>
    <t>Cost synergies ($M)</t>
  </si>
  <si>
    <t>ACCRETION / DILUTION</t>
  </si>
  <si>
    <t>Pro forma net income ($M)</t>
  </si>
  <si>
    <t>Pro forma shares (M)</t>
  </si>
  <si>
    <t>Pro forma EPS</t>
  </si>
  <si>
    <t>Accretion / (dilution)</t>
  </si>
  <si>
    <t>Verdict</t>
  </si>
  <si>
    <t>ACCRETIVE  (+1.76%)</t>
  </si>
  <si>
    <t>META — Analyst Consensus &amp; Sentiment</t>
  </si>
  <si>
    <t>S&amp;P Global / Yahoo Finance / MarketWatch consensus as of 2026-09-14</t>
  </si>
  <si>
    <t>RATINGS &amp; PRICE TARGETS</t>
  </si>
  <si>
    <t>Consensus rating</t>
  </si>
  <si>
    <t>Strong Buy</t>
  </si>
  <si>
    <t>Average price target</t>
  </si>
  <si>
    <t>$754.00</t>
  </si>
  <si>
    <t>High / Low target</t>
  </si>
  <si>
    <t>$1,000 / $580</t>
  </si>
  <si>
    <t>Upside to avg target</t>
  </si>
  <si>
    <t>13.3%</t>
  </si>
  <si>
    <t>Analysts covering</t>
  </si>
  <si>
    <t>55–66</t>
  </si>
  <si>
    <t>REVENUE &amp; EPS CONSENSUS</t>
  </si>
  <si>
    <t>FY2026E</t>
  </si>
  <si>
    <t>FY2027E</t>
  </si>
  <si>
    <t>FY2028E</t>
  </si>
  <si>
    <t>Revenue ($M)</t>
  </si>
  <si>
    <t>Quarterly revenue (next 2)</t>
  </si>
  <si>
    <t>RECENT NEWS TIMELINE</t>
  </si>
  <si>
    <t>Headline</t>
  </si>
  <si>
    <t>2026-07-29</t>
  </si>
  <si>
    <t>Meta reports Q2 2026 results — AI accelerating core business (PRNewswire)</t>
  </si>
  <si>
    <t>2026-05-28</t>
  </si>
  <si>
    <t>Board declares quarterly cash dividend of $0.525/share</t>
  </si>
  <si>
    <t>2026-04-29</t>
  </si>
  <si>
    <t>Meta reports Q1 2026 results — 'milestone quarter', first Superintelligence Labs model released</t>
  </si>
  <si>
    <t>2026-07-14</t>
  </si>
  <si>
    <t>Meta to announce Q2 2026 results (after close Jul 29)</t>
  </si>
  <si>
    <t>2026-08-26</t>
  </si>
  <si>
    <t>Agreement with bipartisan AGs on teen safety — daily time limits, night blocks</t>
  </si>
  <si>
    <t>META Financial Package — Sources &amp; Citations</t>
  </si>
  <si>
    <t>Every data point is traceable to one of these sources</t>
  </si>
  <si>
    <t>#</t>
  </si>
  <si>
    <t>Category</t>
  </si>
  <si>
    <t>Source</t>
  </si>
  <si>
    <t>Accessed</t>
  </si>
  <si>
    <t>Financial statements (IS/BS/CF, 2019–2025 + quarterly)</t>
  </si>
  <si>
    <t>SEC EDGAR — XBRL Company Facts</t>
  </si>
  <si>
    <t>https://data.sec.gov/api/xbrl/companyfacts/CIK0001326801.json</t>
  </si>
  <si>
    <t>2026-09-14</t>
  </si>
  <si>
    <t>Market quote, 52-wk range, volume</t>
  </si>
  <si>
    <t>Twelve Data — /quote (META, NASDAQ)</t>
  </si>
  <si>
    <t>https://twelvedata.com</t>
  </si>
  <si>
    <t>Price history (daily &amp; monthly)</t>
  </si>
  <si>
    <t>Twelve Data — /time_series</t>
  </si>
  <si>
    <t>Technical indicators (RSI/SMA/MACD/ATR/beta)</t>
  </si>
  <si>
    <t>Twelve Data — /technical_indicators</t>
  </si>
  <si>
    <t>Analyst revenue &amp; EPS estimates</t>
  </si>
  <si>
    <t>Yahoo Finance — META /analysis</t>
  </si>
  <si>
    <t>https://finance.yahoo.com/quote/META/analysis/</t>
  </si>
  <si>
    <t>Price targets &amp; ratings</t>
  </si>
  <si>
    <t>stockanalysis.com — META /forecast</t>
  </si>
  <si>
    <t>https://stockanalysis.com/stocks/meta/forecast/</t>
  </si>
  <si>
    <t>Valuation ratios (P/E, EV/EBITDA, PEG)</t>
  </si>
  <si>
    <t>stockanalysis.com — META /statistics</t>
  </si>
  <si>
    <t>https://stockanalysis.com/stocks/meta/statistics/</t>
  </si>
  <si>
    <t>Peer multiples &amp; market caps</t>
  </si>
  <si>
    <t>stockanalysis.com + StockTi + MarketScreener</t>
  </si>
  <si>
    <t>https://stockanalysis.com/stocks/googl/statistics/</t>
  </si>
  <si>
    <t>Company press releases (Q1/Q2 2026, dividend)</t>
  </si>
  <si>
    <t>Meta IR via PRNewswire</t>
  </si>
  <si>
    <t>https://investor.atmeta.com</t>
  </si>
  <si>
    <t>Note: Twelve Data's /statistics, /financials and /analyst endpoints require an upgraded plan; equivalent data was sourced from SEC EDGAR (authoritative) and the public analyst-consensus sources above. All financial-statement figures are as-reported in Meta's 10-K/10-Q filings.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</si>
</sst>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#,##0.0"/>
    <numFmt numFmtId="167" formatCode="0.0&quot;x&quot;"/>
    <numFmt numFmtId="168" formatCode="0.00&quot;x&quot;"/>
  </numFmts>
  <fonts count="13" x14ac:knownFonts="1">
    <font>
      <sz val="11"/>
      <color theme="1"/>
      <name val="Calibri"/>
      <family val="2"/>
      <scheme val="minor"/>
    </font>
    <font>
      <b/>
      <sz val="18"/>
      <color rgb="FF0B1D33"/>
      <name val="Calibri"/>
    </font>
    <font>
      <b/>
      <sz val="10"/>
      <color rgb="FFFFFFFF"/>
      <name val="Calibri"/>
    </font>
    <font>
      <i/>
      <sz val="9"/>
      <color rgb="FF555555"/>
      <name val="Calibri"/>
    </font>
    <font>
      <sz val="8"/>
      <color rgb="FF666666"/>
      <name val="Calibri"/>
    </font>
    <font>
      <b/>
      <sz val="10"/>
      <name val="Calibri"/>
    </font>
    <font>
      <b/>
      <sz val="12"/>
      <color rgb="FF0866FF"/>
      <name val="Calibri"/>
    </font>
    <font>
      <b/>
      <sz val="11"/>
      <color rgb="FFFFFFFF"/>
      <name val="Calibri"/>
    </font>
    <font>
      <sz val="10"/>
      <name val="Calibri"/>
    </font>
    <font>
      <b/>
      <sz val="15"/>
      <color rgb="FFFFFFFF"/>
      <name val="Calibri"/>
    </font>
    <font>
      <i/>
      <sz val="9"/>
      <color rgb="FF888888"/>
      <name val="Calibri"/>
    </font>
    <font>
      <b/>
      <sz val="12"/>
      <color rgb="FF1E8E3E"/>
      <name val="Calibri"/>
    </font>
    <font>
      <u/>
      <sz val="9"/>
      <color rgb="FF0866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866FF"/>
      </patternFill>
    </fill>
    <fill>
      <patternFill patternType="solid">
        <fgColor rgb="FF0B1D33"/>
      </patternFill>
    </fill>
    <fill>
      <patternFill patternType="solid">
        <fgColor rgb="FFF2F4F7"/>
      </patternFill>
    </fill>
    <fill>
      <patternFill patternType="solid">
        <fgColor rgb="FFE7F0FF"/>
      </patternFill>
    </fill>
    <fill>
      <patternFill patternType="solid">
        <fgColor rgb="FFFEF3E0"/>
      </patternFill>
    </fill>
    <fill>
      <patternFill patternType="solid">
        <fgColor rgb="FFE6F4EA"/>
      </patternFill>
    </fill>
    <fill>
      <patternFill patternType="solid">
        <fgColor rgb="FFFCE8E6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65" fontId="8" fillId="0" borderId="1" xfId="0" applyNumberFormat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right"/>
    </xf>
    <xf numFmtId="3" fontId="8" fillId="6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left"/>
    </xf>
    <xf numFmtId="4" fontId="8" fillId="0" borderId="1" xfId="0" applyNumberFormat="1" applyFont="1" applyBorder="1" applyAlignment="1">
      <alignment horizontal="right"/>
    </xf>
    <xf numFmtId="4" fontId="8" fillId="6" borderId="1" xfId="0" applyNumberFormat="1" applyFont="1" applyFill="1" applyBorder="1" applyAlignment="1">
      <alignment horizontal="right"/>
    </xf>
    <xf numFmtId="166" fontId="8" fillId="6" borderId="1" xfId="0" applyNumberFormat="1" applyFont="1" applyFill="1" applyBorder="1" applyAlignment="1">
      <alignment horizontal="right"/>
    </xf>
    <xf numFmtId="167" fontId="8" fillId="0" borderId="1" xfId="0" applyNumberFormat="1" applyFont="1" applyBorder="1" applyAlignment="1">
      <alignment horizontal="right"/>
    </xf>
    <xf numFmtId="164" fontId="8" fillId="6" borderId="1" xfId="0" applyNumberFormat="1" applyFont="1" applyFill="1" applyBorder="1" applyAlignment="1">
      <alignment horizontal="right"/>
    </xf>
    <xf numFmtId="168" fontId="8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4" fontId="5" fillId="6" borderId="1" xfId="0" applyNumberFormat="1" applyFont="1" applyFill="1" applyBorder="1" applyAlignment="1">
      <alignment horizontal="right"/>
    </xf>
    <xf numFmtId="3" fontId="8" fillId="7" borderId="1" xfId="0" applyNumberFormat="1" applyFont="1" applyFill="1" applyBorder="1" applyAlignment="1">
      <alignment horizontal="right"/>
    </xf>
    <xf numFmtId="4" fontId="5" fillId="7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left"/>
    </xf>
    <xf numFmtId="3" fontId="8" fillId="8" borderId="1" xfId="0" applyNumberFormat="1" applyFont="1" applyFill="1" applyBorder="1" applyAlignment="1">
      <alignment horizontal="right"/>
    </xf>
    <xf numFmtId="4" fontId="5" fillId="8" borderId="1" xfId="0" applyNumberFormat="1" applyFont="1" applyFill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0" fontId="8" fillId="6" borderId="1" xfId="0" applyFont="1" applyFill="1" applyBorder="1" applyAlignment="1">
      <alignment horizontal="left"/>
    </xf>
    <xf numFmtId="167" fontId="8" fillId="6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5" fillId="6" borderId="1" xfId="0" applyNumberFormat="1" applyFont="1" applyFill="1" applyBorder="1" applyAlignment="1">
      <alignment horizontal="right"/>
    </xf>
    <xf numFmtId="167" fontId="5" fillId="6" borderId="1" xfId="0" applyNumberFormat="1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165" fontId="8" fillId="4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8" fillId="0" borderId="0" xfId="0" applyFont="1" applyAlignment="1">
      <alignment vertical="top" wrapText="1"/>
    </xf>
    <xf numFmtId="0" fontId="0" fillId="0" borderId="0" xfId="0"/>
    <xf numFmtId="0" fontId="7" fillId="3" borderId="0" xfId="0" applyFont="1" applyFill="1"/>
    <xf numFmtId="0" fontId="3" fillId="0" borderId="0" xfId="0" applyFont="1" applyAlignment="1">
      <alignment vertical="top" wrapText="1"/>
    </xf>
    <xf numFmtId="0" fontId="3" fillId="0" borderId="0" xfId="0" applyFont="1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left"/>
    </xf>
    <xf numFmtId="0" fontId="0" fillId="0" borderId="2" xfId="0" applyBorder="1"/>
    <xf numFmtId="0" fontId="10" fillId="0" borderId="0" xfId="0" applyFont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0" fillId="0" borderId="3" xfId="0" applyBorder="1"/>
    <xf numFmtId="0" fontId="5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META Monthly Close (2016–2026)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15000">
              <a:solidFill>
                <a:srgbClr val="0866FF"/>
              </a:solidFill>
              <a:prstDash val="solid"/>
            </a:ln>
          </c:spPr>
          <c:marker>
            <c:symbol val="none"/>
          </c:marker>
          <c:cat>
            <c:strRef>
              <c:f>'Price History'!$B$1:$B$121</c:f>
              <c:strCache>
                <c:ptCount val="121"/>
                <c:pt idx="2">
                  <c:v>Close</c:v>
                </c:pt>
                <c:pt idx="13">
                  <c:v>Close</c:v>
                </c:pt>
                <c:pt idx="14">
                  <c:v>2016-10-01</c:v>
                </c:pt>
                <c:pt idx="15">
                  <c:v>2016-11-01</c:v>
                </c:pt>
                <c:pt idx="16">
                  <c:v>2016-12-01</c:v>
                </c:pt>
                <c:pt idx="17">
                  <c:v>2017-01-01</c:v>
                </c:pt>
                <c:pt idx="18">
                  <c:v>2017-02-01</c:v>
                </c:pt>
                <c:pt idx="19">
                  <c:v>2017-03-01</c:v>
                </c:pt>
                <c:pt idx="20">
                  <c:v>2017-04-01</c:v>
                </c:pt>
                <c:pt idx="21">
                  <c:v>2017-05-01</c:v>
                </c:pt>
                <c:pt idx="22">
                  <c:v>2017-06-01</c:v>
                </c:pt>
                <c:pt idx="23">
                  <c:v>2017-07-01</c:v>
                </c:pt>
                <c:pt idx="24">
                  <c:v>2017-08-01</c:v>
                </c:pt>
                <c:pt idx="25">
                  <c:v>2017-09-01</c:v>
                </c:pt>
                <c:pt idx="26">
                  <c:v>2017-10-01</c:v>
                </c:pt>
                <c:pt idx="27">
                  <c:v>2017-11-01</c:v>
                </c:pt>
                <c:pt idx="28">
                  <c:v>2017-12-01</c:v>
                </c:pt>
                <c:pt idx="29">
                  <c:v>2018-01-01</c:v>
                </c:pt>
                <c:pt idx="30">
                  <c:v>2018-02-01</c:v>
                </c:pt>
                <c:pt idx="31">
                  <c:v>2018-03-01</c:v>
                </c:pt>
                <c:pt idx="32">
                  <c:v>2018-04-01</c:v>
                </c:pt>
                <c:pt idx="33">
                  <c:v>2018-05-01</c:v>
                </c:pt>
                <c:pt idx="34">
                  <c:v>2018-06-01</c:v>
                </c:pt>
                <c:pt idx="35">
                  <c:v>2018-07-01</c:v>
                </c:pt>
                <c:pt idx="36">
                  <c:v>2018-08-01</c:v>
                </c:pt>
                <c:pt idx="37">
                  <c:v>2018-09-01</c:v>
                </c:pt>
                <c:pt idx="38">
                  <c:v>2018-10-01</c:v>
                </c:pt>
                <c:pt idx="39">
                  <c:v>2018-11-01</c:v>
                </c:pt>
                <c:pt idx="40">
                  <c:v>2018-12-01</c:v>
                </c:pt>
                <c:pt idx="41">
                  <c:v>2019-01-01</c:v>
                </c:pt>
                <c:pt idx="42">
                  <c:v>2019-02-01</c:v>
                </c:pt>
                <c:pt idx="43">
                  <c:v>2019-03-01</c:v>
                </c:pt>
                <c:pt idx="44">
                  <c:v>2019-04-01</c:v>
                </c:pt>
                <c:pt idx="45">
                  <c:v>2019-05-01</c:v>
                </c:pt>
                <c:pt idx="46">
                  <c:v>2019-06-01</c:v>
                </c:pt>
                <c:pt idx="47">
                  <c:v>2019-07-01</c:v>
                </c:pt>
                <c:pt idx="48">
                  <c:v>2019-08-01</c:v>
                </c:pt>
                <c:pt idx="49">
                  <c:v>2019-09-01</c:v>
                </c:pt>
                <c:pt idx="50">
                  <c:v>2019-10-01</c:v>
                </c:pt>
                <c:pt idx="51">
                  <c:v>2019-11-01</c:v>
                </c:pt>
                <c:pt idx="52">
                  <c:v>2019-12-01</c:v>
                </c:pt>
                <c:pt idx="53">
                  <c:v>2020-01-01</c:v>
                </c:pt>
                <c:pt idx="54">
                  <c:v>2020-02-01</c:v>
                </c:pt>
                <c:pt idx="55">
                  <c:v>2020-03-01</c:v>
                </c:pt>
                <c:pt idx="56">
                  <c:v>2020-04-01</c:v>
                </c:pt>
                <c:pt idx="57">
                  <c:v>2020-05-01</c:v>
                </c:pt>
                <c:pt idx="58">
                  <c:v>2020-06-01</c:v>
                </c:pt>
                <c:pt idx="59">
                  <c:v>2020-07-01</c:v>
                </c:pt>
                <c:pt idx="60">
                  <c:v>2020-08-01</c:v>
                </c:pt>
                <c:pt idx="61">
                  <c:v>2020-09-01</c:v>
                </c:pt>
                <c:pt idx="62">
                  <c:v>2020-10-01</c:v>
                </c:pt>
                <c:pt idx="63">
                  <c:v>2020-11-01</c:v>
                </c:pt>
                <c:pt idx="64">
                  <c:v>2020-12-01</c:v>
                </c:pt>
                <c:pt idx="65">
                  <c:v>2021-01-01</c:v>
                </c:pt>
                <c:pt idx="66">
                  <c:v>2021-02-01</c:v>
                </c:pt>
                <c:pt idx="67">
                  <c:v>2021-03-01</c:v>
                </c:pt>
                <c:pt idx="68">
                  <c:v>2021-04-01</c:v>
                </c:pt>
                <c:pt idx="69">
                  <c:v>2021-05-01</c:v>
                </c:pt>
                <c:pt idx="70">
                  <c:v>2021-06-01</c:v>
                </c:pt>
                <c:pt idx="71">
                  <c:v>2021-07-01</c:v>
                </c:pt>
                <c:pt idx="72">
                  <c:v>2021-08-01</c:v>
                </c:pt>
                <c:pt idx="73">
                  <c:v>2021-09-01</c:v>
                </c:pt>
                <c:pt idx="74">
                  <c:v>2021-10-01</c:v>
                </c:pt>
                <c:pt idx="75">
                  <c:v>2021-11-01</c:v>
                </c:pt>
                <c:pt idx="76">
                  <c:v>2021-12-01</c:v>
                </c:pt>
                <c:pt idx="77">
                  <c:v>2022-01-01</c:v>
                </c:pt>
                <c:pt idx="78">
                  <c:v>2022-02-01</c:v>
                </c:pt>
                <c:pt idx="79">
                  <c:v>2022-03-01</c:v>
                </c:pt>
                <c:pt idx="80">
                  <c:v>2022-04-01</c:v>
                </c:pt>
                <c:pt idx="81">
                  <c:v>2022-05-01</c:v>
                </c:pt>
                <c:pt idx="82">
                  <c:v>2022-06-01</c:v>
                </c:pt>
                <c:pt idx="83">
                  <c:v>2022-07-01</c:v>
                </c:pt>
                <c:pt idx="84">
                  <c:v>2022-08-01</c:v>
                </c:pt>
                <c:pt idx="85">
                  <c:v>2022-09-01</c:v>
                </c:pt>
                <c:pt idx="86">
                  <c:v>2022-10-01</c:v>
                </c:pt>
                <c:pt idx="87">
                  <c:v>2022-11-01</c:v>
                </c:pt>
                <c:pt idx="88">
                  <c:v>2022-12-01</c:v>
                </c:pt>
                <c:pt idx="89">
                  <c:v>2023-01-01</c:v>
                </c:pt>
                <c:pt idx="90">
                  <c:v>2023-02-01</c:v>
                </c:pt>
                <c:pt idx="91">
                  <c:v>2023-03-01</c:v>
                </c:pt>
                <c:pt idx="92">
                  <c:v>2023-04-01</c:v>
                </c:pt>
                <c:pt idx="93">
                  <c:v>2023-05-01</c:v>
                </c:pt>
                <c:pt idx="94">
                  <c:v>2023-06-01</c:v>
                </c:pt>
                <c:pt idx="95">
                  <c:v>2023-07-01</c:v>
                </c:pt>
                <c:pt idx="96">
                  <c:v>2023-08-01</c:v>
                </c:pt>
                <c:pt idx="97">
                  <c:v>2023-09-01</c:v>
                </c:pt>
                <c:pt idx="98">
                  <c:v>2023-10-01</c:v>
                </c:pt>
                <c:pt idx="99">
                  <c:v>2023-11-01</c:v>
                </c:pt>
                <c:pt idx="100">
                  <c:v>2023-12-01</c:v>
                </c:pt>
                <c:pt idx="101">
                  <c:v>2024-01-01</c:v>
                </c:pt>
                <c:pt idx="102">
                  <c:v>2024-02-01</c:v>
                </c:pt>
                <c:pt idx="103">
                  <c:v>2024-03-01</c:v>
                </c:pt>
                <c:pt idx="104">
                  <c:v>2024-04-01</c:v>
                </c:pt>
                <c:pt idx="105">
                  <c:v>2024-05-01</c:v>
                </c:pt>
                <c:pt idx="106">
                  <c:v>2024-06-01</c:v>
                </c:pt>
                <c:pt idx="107">
                  <c:v>2024-07-01</c:v>
                </c:pt>
                <c:pt idx="108">
                  <c:v>2024-08-01</c:v>
                </c:pt>
                <c:pt idx="109">
                  <c:v>2024-09-01</c:v>
                </c:pt>
                <c:pt idx="110">
                  <c:v>2024-10-01</c:v>
                </c:pt>
                <c:pt idx="111">
                  <c:v>2024-11-01</c:v>
                </c:pt>
                <c:pt idx="112">
                  <c:v>2024-12-01</c:v>
                </c:pt>
                <c:pt idx="113">
                  <c:v>2025-01-01</c:v>
                </c:pt>
                <c:pt idx="114">
                  <c:v>2025-02-01</c:v>
                </c:pt>
                <c:pt idx="115">
                  <c:v>2025-03-01</c:v>
                </c:pt>
                <c:pt idx="116">
                  <c:v>2025-04-01</c:v>
                </c:pt>
                <c:pt idx="117">
                  <c:v>2025-05-01</c:v>
                </c:pt>
                <c:pt idx="118">
                  <c:v>2025-06-01</c:v>
                </c:pt>
                <c:pt idx="119">
                  <c:v>2025-07-01</c:v>
                </c:pt>
                <c:pt idx="120">
                  <c:v>2025-08-01</c:v>
                </c:pt>
              </c:strCache>
            </c:strRef>
          </c:cat>
          <c:val>
            <c:numRef>
              <c:f>'Price History'!$C$1:$C$121</c:f>
              <c:numCache>
                <c:formatCode>General</c:formatCode>
                <c:ptCount val="121"/>
                <c:pt idx="14" formatCode="#,##0.0">
                  <c:v>130.99</c:v>
                </c:pt>
                <c:pt idx="15" formatCode="#,##0.0">
                  <c:v>118.42</c:v>
                </c:pt>
                <c:pt idx="16" formatCode="#,##0.0">
                  <c:v>115.05</c:v>
                </c:pt>
                <c:pt idx="17" formatCode="#,##0.0">
                  <c:v>130.32</c:v>
                </c:pt>
                <c:pt idx="18" formatCode="#,##0.0">
                  <c:v>135.54</c:v>
                </c:pt>
                <c:pt idx="19" formatCode="#,##0.0">
                  <c:v>142.05000000000001</c:v>
                </c:pt>
                <c:pt idx="20" formatCode="#,##0.0">
                  <c:v>150.25</c:v>
                </c:pt>
                <c:pt idx="21" formatCode="#,##0.0">
                  <c:v>151.46</c:v>
                </c:pt>
                <c:pt idx="22" formatCode="#,##0.0">
                  <c:v>150.97999999999999</c:v>
                </c:pt>
                <c:pt idx="23" formatCode="#,##0.0">
                  <c:v>169.25</c:v>
                </c:pt>
                <c:pt idx="24" formatCode="#,##0.0">
                  <c:v>171.97</c:v>
                </c:pt>
                <c:pt idx="25" formatCode="#,##0.0">
                  <c:v>170.87</c:v>
                </c:pt>
                <c:pt idx="26" formatCode="#,##0.0">
                  <c:v>180.06</c:v>
                </c:pt>
                <c:pt idx="27" formatCode="#,##0.0">
                  <c:v>177.18</c:v>
                </c:pt>
                <c:pt idx="28" formatCode="#,##0.0">
                  <c:v>176.46</c:v>
                </c:pt>
                <c:pt idx="29" formatCode="#,##0.0">
                  <c:v>186.89</c:v>
                </c:pt>
                <c:pt idx="30" formatCode="#,##0.0">
                  <c:v>178.32</c:v>
                </c:pt>
                <c:pt idx="31" formatCode="#,##0.0">
                  <c:v>159.79</c:v>
                </c:pt>
                <c:pt idx="32" formatCode="#,##0.0">
                  <c:v>172</c:v>
                </c:pt>
                <c:pt idx="33" formatCode="#,##0.0">
                  <c:v>191.78</c:v>
                </c:pt>
                <c:pt idx="34" formatCode="#,##0.0">
                  <c:v>194.32</c:v>
                </c:pt>
                <c:pt idx="35" formatCode="#,##0.0">
                  <c:v>172.58</c:v>
                </c:pt>
                <c:pt idx="36" formatCode="#,##0.0">
                  <c:v>175.73</c:v>
                </c:pt>
                <c:pt idx="37" formatCode="#,##0.0">
                  <c:v>164.46</c:v>
                </c:pt>
                <c:pt idx="38" formatCode="#,##0.0">
                  <c:v>151.79</c:v>
                </c:pt>
                <c:pt idx="39" formatCode="#,##0.0">
                  <c:v>140.61000000000001</c:v>
                </c:pt>
                <c:pt idx="40" formatCode="#,##0.0">
                  <c:v>131.09</c:v>
                </c:pt>
                <c:pt idx="41" formatCode="#,##0.0">
                  <c:v>166.69</c:v>
                </c:pt>
                <c:pt idx="42" formatCode="#,##0.0">
                  <c:v>161.44999999999999</c:v>
                </c:pt>
                <c:pt idx="43" formatCode="#,##0.0">
                  <c:v>166.69</c:v>
                </c:pt>
                <c:pt idx="44" formatCode="#,##0.0">
                  <c:v>193.4</c:v>
                </c:pt>
                <c:pt idx="45" formatCode="#,##0.0">
                  <c:v>177.47</c:v>
                </c:pt>
                <c:pt idx="46" formatCode="#,##0.0">
                  <c:v>193</c:v>
                </c:pt>
                <c:pt idx="47" formatCode="#,##0.0">
                  <c:v>194.23</c:v>
                </c:pt>
                <c:pt idx="48" formatCode="#,##0.0">
                  <c:v>185.67</c:v>
                </c:pt>
                <c:pt idx="49" formatCode="#,##0.0">
                  <c:v>178.08</c:v>
                </c:pt>
                <c:pt idx="50" formatCode="#,##0.0">
                  <c:v>191.65</c:v>
                </c:pt>
                <c:pt idx="51" formatCode="#,##0.0">
                  <c:v>201.64</c:v>
                </c:pt>
                <c:pt idx="52" formatCode="#,##0.0">
                  <c:v>205.25</c:v>
                </c:pt>
                <c:pt idx="53" formatCode="#,##0.0">
                  <c:v>201.91</c:v>
                </c:pt>
                <c:pt idx="54" formatCode="#,##0.0">
                  <c:v>192.47</c:v>
                </c:pt>
                <c:pt idx="55" formatCode="#,##0.0">
                  <c:v>166.8</c:v>
                </c:pt>
                <c:pt idx="56" formatCode="#,##0.0">
                  <c:v>204.71</c:v>
                </c:pt>
                <c:pt idx="57" formatCode="#,##0.0">
                  <c:v>225.09</c:v>
                </c:pt>
                <c:pt idx="58" formatCode="#,##0.0">
                  <c:v>227.07</c:v>
                </c:pt>
                <c:pt idx="59" formatCode="#,##0.0">
                  <c:v>253.67</c:v>
                </c:pt>
                <c:pt idx="60" formatCode="#,##0.0">
                  <c:v>293.2</c:v>
                </c:pt>
                <c:pt idx="61" formatCode="#,##0.0">
                  <c:v>261.89999999999998</c:v>
                </c:pt>
                <c:pt idx="62" formatCode="#,##0.0">
                  <c:v>263.11</c:v>
                </c:pt>
                <c:pt idx="63" formatCode="#,##0.0">
                  <c:v>276.97000000000003</c:v>
                </c:pt>
                <c:pt idx="64" formatCode="#,##0.0">
                  <c:v>273.16000000000003</c:v>
                </c:pt>
                <c:pt idx="65" formatCode="#,##0.0">
                  <c:v>258.33</c:v>
                </c:pt>
                <c:pt idx="66" formatCode="#,##0.0">
                  <c:v>257.62</c:v>
                </c:pt>
                <c:pt idx="67" formatCode="#,##0.0">
                  <c:v>294.52999999999997</c:v>
                </c:pt>
                <c:pt idx="68" formatCode="#,##0.0">
                  <c:v>325.08</c:v>
                </c:pt>
                <c:pt idx="69" formatCode="#,##0.0">
                  <c:v>328.73</c:v>
                </c:pt>
                <c:pt idx="70" formatCode="#,##0.0">
                  <c:v>347.71</c:v>
                </c:pt>
                <c:pt idx="71" formatCode="#,##0.0">
                  <c:v>356.3</c:v>
                </c:pt>
                <c:pt idx="72" formatCode="#,##0.0">
                  <c:v>379.38</c:v>
                </c:pt>
                <c:pt idx="73" formatCode="#,##0.0">
                  <c:v>339.39</c:v>
                </c:pt>
                <c:pt idx="74" formatCode="#,##0.0">
                  <c:v>323.57</c:v>
                </c:pt>
                <c:pt idx="75" formatCode="#,##0.0">
                  <c:v>324.45999999999998</c:v>
                </c:pt>
                <c:pt idx="76" formatCode="#,##0.0">
                  <c:v>336.35</c:v>
                </c:pt>
                <c:pt idx="77" formatCode="#,##0.0">
                  <c:v>313.26</c:v>
                </c:pt>
                <c:pt idx="78" formatCode="#,##0.0">
                  <c:v>211.03</c:v>
                </c:pt>
                <c:pt idx="79" formatCode="#,##0.0">
                  <c:v>222.36</c:v>
                </c:pt>
                <c:pt idx="80" formatCode="#,##0.0">
                  <c:v>200.47</c:v>
                </c:pt>
                <c:pt idx="81" formatCode="#,##0.0">
                  <c:v>193.64</c:v>
                </c:pt>
                <c:pt idx="82" formatCode="#,##0.0">
                  <c:v>161.25</c:v>
                </c:pt>
                <c:pt idx="83" formatCode="#,##0.0">
                  <c:v>159.1</c:v>
                </c:pt>
                <c:pt idx="84" formatCode="#,##0.0">
                  <c:v>162.93</c:v>
                </c:pt>
                <c:pt idx="85" formatCode="#,##0.0">
                  <c:v>135.68</c:v>
                </c:pt>
                <c:pt idx="86" formatCode="#,##0.0">
                  <c:v>93.16</c:v>
                </c:pt>
                <c:pt idx="87" formatCode="#,##0.0">
                  <c:v>118.1</c:v>
                </c:pt>
                <c:pt idx="88" formatCode="#,##0.0">
                  <c:v>120.34</c:v>
                </c:pt>
                <c:pt idx="89" formatCode="#,##0.0">
                  <c:v>148.97</c:v>
                </c:pt>
                <c:pt idx="90" formatCode="#,##0.0">
                  <c:v>174.94</c:v>
                </c:pt>
                <c:pt idx="91" formatCode="#,##0.0">
                  <c:v>211.94</c:v>
                </c:pt>
                <c:pt idx="92" formatCode="#,##0.0">
                  <c:v>240.32</c:v>
                </c:pt>
                <c:pt idx="93" formatCode="#,##0.0">
                  <c:v>264.72000000000003</c:v>
                </c:pt>
                <c:pt idx="94" formatCode="#,##0.0">
                  <c:v>286.98</c:v>
                </c:pt>
                <c:pt idx="95" formatCode="#,##0.0">
                  <c:v>318.60000000000002</c:v>
                </c:pt>
                <c:pt idx="96" formatCode="#,##0.0">
                  <c:v>295.89</c:v>
                </c:pt>
                <c:pt idx="97" formatCode="#,##0.0">
                  <c:v>300.20999999999998</c:v>
                </c:pt>
                <c:pt idx="98" formatCode="#,##0.0">
                  <c:v>301.27</c:v>
                </c:pt>
                <c:pt idx="99" formatCode="#,##0.0">
                  <c:v>327.14999999999998</c:v>
                </c:pt>
                <c:pt idx="100" formatCode="#,##0.0">
                  <c:v>353.96</c:v>
                </c:pt>
                <c:pt idx="101" formatCode="#,##0.0">
                  <c:v>390.14</c:v>
                </c:pt>
                <c:pt idx="102" formatCode="#,##0.0">
                  <c:v>490.13</c:v>
                </c:pt>
                <c:pt idx="103" formatCode="#,##0.0">
                  <c:v>485.58</c:v>
                </c:pt>
                <c:pt idx="104" formatCode="#,##0.0">
                  <c:v>430.17</c:v>
                </c:pt>
                <c:pt idx="105" formatCode="#,##0.0">
                  <c:v>466.83</c:v>
                </c:pt>
                <c:pt idx="106" formatCode="#,##0.0">
                  <c:v>504.22</c:v>
                </c:pt>
                <c:pt idx="107" formatCode="#,##0.0">
                  <c:v>474.83</c:v>
                </c:pt>
                <c:pt idx="108" formatCode="#,##0.0">
                  <c:v>521.30999999999995</c:v>
                </c:pt>
                <c:pt idx="109" formatCode="#,##0.0">
                  <c:v>572.44000000000005</c:v>
                </c:pt>
                <c:pt idx="110" formatCode="#,##0.0">
                  <c:v>567.58000000000004</c:v>
                </c:pt>
                <c:pt idx="111" formatCode="#,##0.0">
                  <c:v>574.32000000000005</c:v>
                </c:pt>
                <c:pt idx="112" formatCode="#,##0.0">
                  <c:v>585.51</c:v>
                </c:pt>
                <c:pt idx="113" formatCode="#,##0.0">
                  <c:v>689.18</c:v>
                </c:pt>
                <c:pt idx="114" formatCode="#,##0.0">
                  <c:v>668.2</c:v>
                </c:pt>
                <c:pt idx="115" formatCode="#,##0.0">
                  <c:v>576.36</c:v>
                </c:pt>
                <c:pt idx="116" formatCode="#,##0.0">
                  <c:v>549</c:v>
                </c:pt>
                <c:pt idx="117" formatCode="#,##0.0">
                  <c:v>647.49</c:v>
                </c:pt>
                <c:pt idx="118" formatCode="#,##0.0">
                  <c:v>738.09</c:v>
                </c:pt>
                <c:pt idx="119" formatCode="#,##0.0">
                  <c:v>773.44</c:v>
                </c:pt>
                <c:pt idx="120" formatCode="#,##0.0">
                  <c:v>738.7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CB-4568-9435-1EC7D750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stockanalysis.com/stocks/googl/statistics/" TargetMode="External"/><Relationship Id="rId3" Type="http://schemas.openxmlformats.org/officeDocument/2006/relationships/hyperlink" Target="https://twelvedata.com/" TargetMode="External"/><Relationship Id="rId7" Type="http://schemas.openxmlformats.org/officeDocument/2006/relationships/hyperlink" Target="https://stockanalysis.com/stocks/meta/statistics/" TargetMode="External"/><Relationship Id="rId2" Type="http://schemas.openxmlformats.org/officeDocument/2006/relationships/hyperlink" Target="https://twelvedata.com/" TargetMode="External"/><Relationship Id="rId1" Type="http://schemas.openxmlformats.org/officeDocument/2006/relationships/hyperlink" Target="https://data.sec.gov/api/xbrl/companyfacts/CIK0001326801.json" TargetMode="External"/><Relationship Id="rId6" Type="http://schemas.openxmlformats.org/officeDocument/2006/relationships/hyperlink" Target="https://stockanalysis.com/stocks/meta/forecast/" TargetMode="External"/><Relationship Id="rId5" Type="http://schemas.openxmlformats.org/officeDocument/2006/relationships/hyperlink" Target="https://finance.yahoo.com/quote/META/analysis/" TargetMode="External"/><Relationship Id="rId4" Type="http://schemas.openxmlformats.org/officeDocument/2006/relationships/hyperlink" Target="https://twelvedata.com/" TargetMode="External"/><Relationship Id="rId9" Type="http://schemas.openxmlformats.org/officeDocument/2006/relationships/hyperlink" Target="https://investor.atme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8"/>
  <sheetViews>
    <sheetView showGridLines="0" tabSelected="1" topLeftCell="A14" workbookViewId="0"/>
  </sheetViews>
  <sheetFormatPr defaultRowHeight="15" x14ac:dyDescent="0.25"/>
  <cols>
    <col min="1" max="1" width="3" customWidth="1"/>
    <col min="2" max="2" width="26" customWidth="1"/>
    <col min="3" max="8" width="16" customWidth="1"/>
  </cols>
  <sheetData>
    <row r="2" spans="2:9" ht="33.950000000000003" customHeight="1" x14ac:dyDescent="0.35">
      <c r="B2" s="49" t="s">
        <v>0</v>
      </c>
      <c r="C2" s="45"/>
      <c r="D2" s="45"/>
      <c r="E2" s="45"/>
      <c r="F2" s="45"/>
      <c r="G2" s="45"/>
      <c r="H2" s="45"/>
    </row>
    <row r="3" spans="2:9" x14ac:dyDescent="0.25">
      <c r="B3" s="50" t="s">
        <v>1</v>
      </c>
      <c r="C3" s="45"/>
      <c r="D3" s="45"/>
      <c r="E3" s="45"/>
      <c r="F3" s="45"/>
      <c r="G3" s="45"/>
      <c r="H3" s="45"/>
    </row>
    <row r="4" spans="2:9" x14ac:dyDescent="0.25">
      <c r="B4" s="48" t="s">
        <v>2</v>
      </c>
      <c r="C4" s="45"/>
      <c r="D4" s="45"/>
      <c r="E4" s="45"/>
      <c r="F4" s="45"/>
      <c r="G4" s="45"/>
      <c r="H4" s="45"/>
    </row>
    <row r="6" spans="2:9" ht="15.75" x14ac:dyDescent="0.25">
      <c r="B6" s="1" t="s">
        <v>3</v>
      </c>
      <c r="C6" s="2" t="s">
        <v>4</v>
      </c>
      <c r="D6" s="1" t="s">
        <v>5</v>
      </c>
      <c r="E6" s="2" t="s">
        <v>6</v>
      </c>
      <c r="F6" s="1" t="s">
        <v>7</v>
      </c>
      <c r="G6" s="2" t="s">
        <v>8</v>
      </c>
      <c r="H6" s="1" t="s">
        <v>9</v>
      </c>
      <c r="I6" s="2" t="s">
        <v>10</v>
      </c>
    </row>
    <row r="8" spans="2:9" ht="15.75" x14ac:dyDescent="0.25">
      <c r="B8" s="1" t="s">
        <v>11</v>
      </c>
      <c r="C8" s="2" t="s">
        <v>12</v>
      </c>
      <c r="D8" s="1" t="s">
        <v>13</v>
      </c>
      <c r="E8" s="2" t="s">
        <v>14</v>
      </c>
      <c r="F8" s="1" t="s">
        <v>15</v>
      </c>
      <c r="G8" s="2" t="s">
        <v>16</v>
      </c>
      <c r="H8" s="1" t="s">
        <v>17</v>
      </c>
      <c r="I8" s="2" t="s">
        <v>18</v>
      </c>
    </row>
    <row r="11" spans="2:9" x14ac:dyDescent="0.25">
      <c r="B11" s="46" t="s">
        <v>19</v>
      </c>
      <c r="C11" s="45"/>
      <c r="D11" s="45"/>
      <c r="E11" s="45"/>
      <c r="F11" s="45"/>
      <c r="G11" s="45"/>
      <c r="H11" s="45"/>
    </row>
    <row r="12" spans="2:9" x14ac:dyDescent="0.25">
      <c r="B12" s="3" t="s">
        <v>20</v>
      </c>
      <c r="C12" s="4" t="s">
        <v>21</v>
      </c>
    </row>
    <row r="13" spans="2:9" x14ac:dyDescent="0.25">
      <c r="B13" s="3" t="s">
        <v>22</v>
      </c>
      <c r="C13" s="4" t="s">
        <v>23</v>
      </c>
    </row>
    <row r="14" spans="2:9" x14ac:dyDescent="0.25">
      <c r="B14" s="3" t="s">
        <v>24</v>
      </c>
      <c r="C14" s="4" t="s">
        <v>25</v>
      </c>
    </row>
    <row r="15" spans="2:9" x14ac:dyDescent="0.25">
      <c r="B15" s="3" t="s">
        <v>26</v>
      </c>
      <c r="C15" s="4" t="s">
        <v>27</v>
      </c>
    </row>
    <row r="16" spans="2:9" x14ac:dyDescent="0.25">
      <c r="B16" s="3" t="s">
        <v>28</v>
      </c>
      <c r="C16" s="4" t="s">
        <v>29</v>
      </c>
    </row>
    <row r="17" spans="2:8" x14ac:dyDescent="0.25">
      <c r="B17" s="3" t="s">
        <v>30</v>
      </c>
      <c r="C17" s="4" t="s">
        <v>31</v>
      </c>
    </row>
    <row r="18" spans="2:8" x14ac:dyDescent="0.25">
      <c r="B18" s="3" t="s">
        <v>32</v>
      </c>
      <c r="C18" s="4" t="s">
        <v>33</v>
      </c>
    </row>
    <row r="19" spans="2:8" x14ac:dyDescent="0.25">
      <c r="B19" s="3" t="s">
        <v>34</v>
      </c>
      <c r="C19" s="4" t="s">
        <v>35</v>
      </c>
    </row>
    <row r="20" spans="2:8" x14ac:dyDescent="0.25">
      <c r="B20" s="3" t="s">
        <v>36</v>
      </c>
      <c r="C20" s="4" t="s">
        <v>37</v>
      </c>
    </row>
    <row r="21" spans="2:8" x14ac:dyDescent="0.25">
      <c r="B21" s="3" t="s">
        <v>38</v>
      </c>
      <c r="C21" s="4" t="s">
        <v>39</v>
      </c>
    </row>
    <row r="22" spans="2:8" x14ac:dyDescent="0.25">
      <c r="B22" s="3" t="s">
        <v>40</v>
      </c>
      <c r="C22" s="4" t="s">
        <v>41</v>
      </c>
    </row>
    <row r="23" spans="2:8" x14ac:dyDescent="0.25">
      <c r="B23" s="3" t="s">
        <v>42</v>
      </c>
      <c r="C23" s="4" t="s">
        <v>43</v>
      </c>
    </row>
    <row r="24" spans="2:8" x14ac:dyDescent="0.25">
      <c r="B24" s="3" t="s">
        <v>44</v>
      </c>
      <c r="C24" s="4" t="s">
        <v>45</v>
      </c>
    </row>
    <row r="26" spans="2:8" x14ac:dyDescent="0.25">
      <c r="B26" s="46" t="s">
        <v>46</v>
      </c>
      <c r="C26" s="45"/>
      <c r="D26" s="45"/>
      <c r="E26" s="45"/>
      <c r="F26" s="45"/>
      <c r="G26" s="45"/>
      <c r="H26" s="45"/>
    </row>
    <row r="27" spans="2:8" ht="26.1" customHeight="1" x14ac:dyDescent="0.25">
      <c r="B27" s="44" t="s">
        <v>47</v>
      </c>
      <c r="C27" s="45"/>
      <c r="D27" s="45"/>
      <c r="E27" s="45"/>
      <c r="F27" s="45"/>
      <c r="G27" s="45"/>
      <c r="H27" s="45"/>
    </row>
    <row r="28" spans="2:8" ht="26.1" customHeight="1" x14ac:dyDescent="0.25">
      <c r="B28" s="44" t="s">
        <v>48</v>
      </c>
      <c r="C28" s="45"/>
      <c r="D28" s="45"/>
      <c r="E28" s="45"/>
      <c r="F28" s="45"/>
      <c r="G28" s="45"/>
      <c r="H28" s="45"/>
    </row>
    <row r="29" spans="2:8" ht="26.1" customHeight="1" x14ac:dyDescent="0.25">
      <c r="B29" s="44" t="s">
        <v>49</v>
      </c>
      <c r="C29" s="45"/>
      <c r="D29" s="45"/>
      <c r="E29" s="45"/>
      <c r="F29" s="45"/>
      <c r="G29" s="45"/>
      <c r="H29" s="45"/>
    </row>
    <row r="30" spans="2:8" ht="26.1" customHeight="1" x14ac:dyDescent="0.25">
      <c r="B30" s="44" t="s">
        <v>50</v>
      </c>
      <c r="C30" s="45"/>
      <c r="D30" s="45"/>
      <c r="E30" s="45"/>
      <c r="F30" s="45"/>
      <c r="G30" s="45"/>
      <c r="H30" s="45"/>
    </row>
    <row r="31" spans="2:8" ht="26.1" customHeight="1" x14ac:dyDescent="0.25">
      <c r="B31" s="44" t="s">
        <v>51</v>
      </c>
      <c r="C31" s="45"/>
      <c r="D31" s="45"/>
      <c r="E31" s="45"/>
      <c r="F31" s="45"/>
      <c r="G31" s="45"/>
      <c r="H31" s="45"/>
    </row>
    <row r="32" spans="2:8" ht="26.1" customHeight="1" x14ac:dyDescent="0.25">
      <c r="B32" s="44" t="s">
        <v>52</v>
      </c>
      <c r="C32" s="45"/>
      <c r="D32" s="45"/>
      <c r="E32" s="45"/>
      <c r="F32" s="45"/>
      <c r="G32" s="45"/>
      <c r="H32" s="45"/>
    </row>
    <row r="33" spans="2:8" ht="26.1" customHeight="1" x14ac:dyDescent="0.25">
      <c r="B33" s="44" t="s">
        <v>53</v>
      </c>
      <c r="C33" s="45"/>
      <c r="D33" s="45"/>
      <c r="E33" s="45"/>
      <c r="F33" s="45"/>
      <c r="G33" s="45"/>
      <c r="H33" s="45"/>
    </row>
    <row r="35" spans="2:8" x14ac:dyDescent="0.25">
      <c r="B35" s="46" t="s">
        <v>54</v>
      </c>
      <c r="C35" s="45"/>
      <c r="D35" s="45"/>
      <c r="E35" s="45"/>
      <c r="F35" s="45"/>
      <c r="G35" s="45"/>
      <c r="H35" s="45"/>
    </row>
    <row r="36" spans="2:8" ht="39.950000000000003" customHeight="1" x14ac:dyDescent="0.25">
      <c r="B36" s="47" t="s">
        <v>55</v>
      </c>
      <c r="C36" s="45"/>
      <c r="D36" s="45"/>
      <c r="E36" s="45"/>
      <c r="F36" s="45"/>
      <c r="G36" s="45"/>
      <c r="H36" s="45"/>
    </row>
    <row r="37" spans="2:8" x14ac:dyDescent="0.25">
      <c r="B37" s="45"/>
      <c r="C37" s="45"/>
      <c r="D37" s="45"/>
      <c r="E37" s="45"/>
      <c r="F37" s="45"/>
      <c r="G37" s="45"/>
      <c r="H37" s="45"/>
    </row>
    <row r="38" spans="2:8" x14ac:dyDescent="0.25">
      <c r="B38" s="45"/>
      <c r="C38" s="45"/>
      <c r="D38" s="45"/>
      <c r="E38" s="45"/>
      <c r="F38" s="45"/>
      <c r="G38" s="45"/>
      <c r="H38" s="45"/>
    </row>
  </sheetData>
  <mergeCells count="14">
    <mergeCell ref="B4:H4"/>
    <mergeCell ref="B31:H31"/>
    <mergeCell ref="B30:H30"/>
    <mergeCell ref="B2:H2"/>
    <mergeCell ref="B29:H29"/>
    <mergeCell ref="B11:H11"/>
    <mergeCell ref="B3:H3"/>
    <mergeCell ref="B28:H28"/>
    <mergeCell ref="B32:H32"/>
    <mergeCell ref="B26:H26"/>
    <mergeCell ref="B27:H27"/>
    <mergeCell ref="B36:H38"/>
    <mergeCell ref="B35:H35"/>
    <mergeCell ref="B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showGridLines="0" workbookViewId="0">
      <selection sqref="A1:E1"/>
    </sheetView>
  </sheetViews>
  <sheetFormatPr defaultRowHeight="15" x14ac:dyDescent="0.25"/>
  <cols>
    <col min="1" max="1" width="2" customWidth="1"/>
    <col min="2" max="2" width="34" customWidth="1"/>
    <col min="3" max="3" width="18" customWidth="1"/>
    <col min="4" max="4" width="34" customWidth="1"/>
    <col min="5" max="5" width="18" customWidth="1"/>
  </cols>
  <sheetData>
    <row r="1" spans="1:5" ht="27.95" customHeight="1" x14ac:dyDescent="0.25">
      <c r="A1" s="54" t="s">
        <v>56</v>
      </c>
      <c r="B1" s="45"/>
      <c r="C1" s="45"/>
      <c r="D1" s="45"/>
      <c r="E1" s="45"/>
    </row>
    <row r="2" spans="1:5" ht="15.95" customHeight="1" x14ac:dyDescent="0.25">
      <c r="A2" s="53" t="s">
        <v>57</v>
      </c>
      <c r="B2" s="45"/>
      <c r="C2" s="45"/>
      <c r="D2" s="45"/>
      <c r="E2" s="45"/>
    </row>
    <row r="3" spans="1:5" ht="30" customHeight="1" x14ac:dyDescent="0.25">
      <c r="A3" s="5" t="s">
        <v>58</v>
      </c>
      <c r="B3" s="5" t="s">
        <v>59</v>
      </c>
      <c r="C3" s="5" t="s">
        <v>58</v>
      </c>
      <c r="D3" s="5" t="s">
        <v>59</v>
      </c>
    </row>
    <row r="4" spans="1:5" x14ac:dyDescent="0.25">
      <c r="B4" s="6" t="s">
        <v>60</v>
      </c>
      <c r="C4" s="7" t="s">
        <v>61</v>
      </c>
      <c r="D4" s="6" t="s">
        <v>62</v>
      </c>
      <c r="E4" s="7" t="s">
        <v>63</v>
      </c>
    </row>
    <row r="5" spans="1:5" x14ac:dyDescent="0.25">
      <c r="B5" s="6" t="s">
        <v>3</v>
      </c>
      <c r="C5" s="7" t="s">
        <v>4</v>
      </c>
      <c r="D5" s="6" t="s">
        <v>64</v>
      </c>
      <c r="E5" s="7" t="s">
        <v>65</v>
      </c>
    </row>
    <row r="6" spans="1:5" x14ac:dyDescent="0.25">
      <c r="B6" s="6" t="s">
        <v>5</v>
      </c>
      <c r="C6" s="7" t="s">
        <v>66</v>
      </c>
      <c r="D6" s="6" t="s">
        <v>67</v>
      </c>
      <c r="E6" s="7" t="s">
        <v>68</v>
      </c>
    </row>
    <row r="7" spans="1:5" x14ac:dyDescent="0.25">
      <c r="B7" s="6" t="s">
        <v>69</v>
      </c>
      <c r="C7" s="7" t="s">
        <v>70</v>
      </c>
      <c r="D7" s="6" t="s">
        <v>71</v>
      </c>
      <c r="E7" s="7" t="s">
        <v>72</v>
      </c>
    </row>
    <row r="8" spans="1:5" x14ac:dyDescent="0.25">
      <c r="B8" s="6" t="s">
        <v>73</v>
      </c>
      <c r="C8" s="7" t="s">
        <v>74</v>
      </c>
      <c r="D8" s="6" t="s">
        <v>75</v>
      </c>
      <c r="E8" s="7" t="s">
        <v>76</v>
      </c>
    </row>
    <row r="9" spans="1:5" x14ac:dyDescent="0.25">
      <c r="B9" s="6" t="s">
        <v>9</v>
      </c>
      <c r="C9" s="7" t="s">
        <v>10</v>
      </c>
      <c r="D9" s="6" t="s">
        <v>77</v>
      </c>
      <c r="E9" s="7" t="s">
        <v>78</v>
      </c>
    </row>
    <row r="11" spans="1:5" ht="30" customHeight="1" x14ac:dyDescent="0.25">
      <c r="A11" s="8" t="s">
        <v>79</v>
      </c>
      <c r="B11" s="8" t="s">
        <v>59</v>
      </c>
      <c r="C11" s="8" t="s">
        <v>80</v>
      </c>
    </row>
    <row r="12" spans="1:5" x14ac:dyDescent="0.25">
      <c r="B12" s="6" t="s">
        <v>81</v>
      </c>
      <c r="C12" s="7" t="s">
        <v>82</v>
      </c>
      <c r="D12" s="51" t="s">
        <v>83</v>
      </c>
      <c r="E12" s="52"/>
    </row>
    <row r="13" spans="1:5" x14ac:dyDescent="0.25">
      <c r="B13" s="6" t="s">
        <v>84</v>
      </c>
      <c r="C13" s="7" t="s">
        <v>85</v>
      </c>
      <c r="D13" s="51" t="s">
        <v>86</v>
      </c>
      <c r="E13" s="52"/>
    </row>
    <row r="14" spans="1:5" x14ac:dyDescent="0.25">
      <c r="B14" s="6" t="s">
        <v>87</v>
      </c>
      <c r="C14" s="7" t="s">
        <v>88</v>
      </c>
      <c r="D14" s="51" t="s">
        <v>89</v>
      </c>
      <c r="E14" s="52"/>
    </row>
    <row r="15" spans="1:5" x14ac:dyDescent="0.25">
      <c r="B15" s="6" t="s">
        <v>90</v>
      </c>
      <c r="C15" s="7" t="s">
        <v>91</v>
      </c>
      <c r="D15" s="51" t="s">
        <v>92</v>
      </c>
      <c r="E15" s="52"/>
    </row>
    <row r="16" spans="1:5" x14ac:dyDescent="0.25">
      <c r="B16" s="6" t="s">
        <v>93</v>
      </c>
      <c r="C16" s="7" t="s">
        <v>94</v>
      </c>
      <c r="D16" s="51" t="s">
        <v>95</v>
      </c>
      <c r="E16" s="52"/>
    </row>
    <row r="17" spans="1:5" x14ac:dyDescent="0.25">
      <c r="B17" s="6" t="s">
        <v>96</v>
      </c>
      <c r="C17" s="7" t="s">
        <v>97</v>
      </c>
      <c r="D17" s="51" t="s">
        <v>98</v>
      </c>
      <c r="E17" s="52"/>
    </row>
    <row r="18" spans="1:5" x14ac:dyDescent="0.25">
      <c r="B18" s="6" t="s">
        <v>99</v>
      </c>
      <c r="C18" s="7" t="s">
        <v>100</v>
      </c>
      <c r="D18" s="51" t="s">
        <v>101</v>
      </c>
      <c r="E18" s="52"/>
    </row>
    <row r="19" spans="1:5" x14ac:dyDescent="0.25">
      <c r="B19" s="6" t="s">
        <v>102</v>
      </c>
      <c r="C19" s="7" t="s">
        <v>103</v>
      </c>
      <c r="D19" s="51" t="s">
        <v>104</v>
      </c>
      <c r="E19" s="52"/>
    </row>
    <row r="20" spans="1:5" x14ac:dyDescent="0.25">
      <c r="B20" s="6" t="s">
        <v>105</v>
      </c>
      <c r="C20" s="7" t="s">
        <v>106</v>
      </c>
      <c r="D20" s="51" t="s">
        <v>107</v>
      </c>
      <c r="E20" s="52"/>
    </row>
    <row r="21" spans="1:5" x14ac:dyDescent="0.25">
      <c r="B21" s="6" t="s">
        <v>108</v>
      </c>
      <c r="C21" s="7" t="s">
        <v>109</v>
      </c>
      <c r="D21" s="51" t="s">
        <v>110</v>
      </c>
      <c r="E21" s="52"/>
    </row>
    <row r="23" spans="1:5" x14ac:dyDescent="0.25">
      <c r="A23" s="55" t="s">
        <v>111</v>
      </c>
      <c r="B23" s="45"/>
      <c r="C23" s="45"/>
      <c r="D23" s="45"/>
      <c r="E23" s="45"/>
    </row>
    <row r="24" spans="1:5" x14ac:dyDescent="0.25">
      <c r="B24" s="6" t="s">
        <v>112</v>
      </c>
      <c r="C24" s="7" t="s">
        <v>113</v>
      </c>
      <c r="D24" s="6" t="s">
        <v>105</v>
      </c>
      <c r="E24" s="7" t="s">
        <v>106</v>
      </c>
    </row>
    <row r="25" spans="1:5" x14ac:dyDescent="0.25">
      <c r="B25" s="6" t="s">
        <v>114</v>
      </c>
      <c r="C25" s="7" t="s">
        <v>115</v>
      </c>
      <c r="D25" s="6" t="s">
        <v>116</v>
      </c>
      <c r="E25" s="7" t="s">
        <v>117</v>
      </c>
    </row>
    <row r="26" spans="1:5" x14ac:dyDescent="0.25">
      <c r="B26" s="6" t="s">
        <v>118</v>
      </c>
      <c r="C26" s="7" t="s">
        <v>119</v>
      </c>
      <c r="D26" s="6" t="s">
        <v>120</v>
      </c>
      <c r="E26" s="7" t="s">
        <v>121</v>
      </c>
    </row>
    <row r="27" spans="1:5" x14ac:dyDescent="0.25">
      <c r="B27" s="6" t="s">
        <v>122</v>
      </c>
      <c r="C27" s="7" t="s">
        <v>123</v>
      </c>
      <c r="D27" s="6" t="s">
        <v>124</v>
      </c>
      <c r="E27" s="7" t="s">
        <v>125</v>
      </c>
    </row>
    <row r="28" spans="1:5" x14ac:dyDescent="0.25">
      <c r="B28" s="6" t="s">
        <v>126</v>
      </c>
      <c r="C28" s="7" t="s">
        <v>127</v>
      </c>
      <c r="D28" s="6" t="s">
        <v>128</v>
      </c>
      <c r="E28" s="7" t="s">
        <v>129</v>
      </c>
    </row>
  </sheetData>
  <mergeCells count="13">
    <mergeCell ref="A1:E1"/>
    <mergeCell ref="A23:E23"/>
    <mergeCell ref="D18:E18"/>
    <mergeCell ref="D17:E17"/>
    <mergeCell ref="D12:E12"/>
    <mergeCell ref="D21:E21"/>
    <mergeCell ref="D20:E20"/>
    <mergeCell ref="D16:E16"/>
    <mergeCell ref="A2:E2"/>
    <mergeCell ref="D15:E15"/>
    <mergeCell ref="D19:E19"/>
    <mergeCell ref="D13:E13"/>
    <mergeCell ref="D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4"/>
  <sheetViews>
    <sheetView showGridLines="0" workbookViewId="0">
      <selection sqref="A1:I1"/>
    </sheetView>
  </sheetViews>
  <sheetFormatPr defaultRowHeight="15" x14ac:dyDescent="0.25"/>
  <cols>
    <col min="1" max="1" width="2" customWidth="1"/>
    <col min="2" max="2" width="16" customWidth="1"/>
    <col min="3" max="6" width="12" customWidth="1"/>
    <col min="7" max="7" width="30" customWidth="1"/>
    <col min="8" max="9" width="14" customWidth="1"/>
  </cols>
  <sheetData>
    <row r="1" spans="1:9" ht="27.95" customHeight="1" x14ac:dyDescent="0.25">
      <c r="A1" s="54" t="s">
        <v>130</v>
      </c>
      <c r="B1" s="45"/>
      <c r="C1" s="45"/>
      <c r="D1" s="45"/>
      <c r="E1" s="45"/>
      <c r="F1" s="45"/>
      <c r="G1" s="45"/>
      <c r="H1" s="45"/>
      <c r="I1" s="45"/>
    </row>
    <row r="2" spans="1:9" ht="15.95" customHeight="1" x14ac:dyDescent="0.25">
      <c r="A2" s="53" t="s">
        <v>131</v>
      </c>
      <c r="B2" s="45"/>
      <c r="C2" s="45"/>
      <c r="D2" s="45"/>
      <c r="E2" s="45"/>
      <c r="F2" s="45"/>
      <c r="G2" s="45"/>
      <c r="H2" s="45"/>
      <c r="I2" s="45"/>
    </row>
    <row r="3" spans="1:9" ht="30" customHeight="1" x14ac:dyDescent="0.25">
      <c r="A3" s="5" t="s">
        <v>132</v>
      </c>
      <c r="B3" s="5" t="s">
        <v>133</v>
      </c>
      <c r="C3" s="5"/>
      <c r="D3" s="5"/>
      <c r="E3" s="5"/>
      <c r="F3" s="5" t="s">
        <v>134</v>
      </c>
      <c r="G3" s="5" t="s">
        <v>59</v>
      </c>
      <c r="H3" s="5"/>
      <c r="I3" s="5"/>
    </row>
    <row r="4" spans="1:9" x14ac:dyDescent="0.25">
      <c r="F4" s="6" t="s">
        <v>135</v>
      </c>
      <c r="G4" s="9">
        <v>0.16294510256141459</v>
      </c>
    </row>
    <row r="5" spans="1:9" x14ac:dyDescent="0.25">
      <c r="F5" s="6" t="s">
        <v>136</v>
      </c>
      <c r="G5" s="9">
        <v>0.18162935610431591</v>
      </c>
    </row>
    <row r="6" spans="1:9" x14ac:dyDescent="0.25">
      <c r="F6" s="6" t="s">
        <v>137</v>
      </c>
      <c r="G6" s="9">
        <v>0.16337196091797329</v>
      </c>
    </row>
    <row r="7" spans="1:9" x14ac:dyDescent="0.25">
      <c r="F7" s="6" t="s">
        <v>138</v>
      </c>
      <c r="G7" s="9">
        <v>-9.3657234674146883E-2</v>
      </c>
    </row>
    <row r="8" spans="1:9" x14ac:dyDescent="0.25">
      <c r="F8" s="6" t="s">
        <v>139</v>
      </c>
      <c r="G8" s="9">
        <v>0.30395534712020028</v>
      </c>
    </row>
    <row r="9" spans="1:9" x14ac:dyDescent="0.25">
      <c r="F9" s="6" t="s">
        <v>140</v>
      </c>
      <c r="G9" s="9">
        <v>0.14420239976499841</v>
      </c>
    </row>
    <row r="10" spans="1:9" x14ac:dyDescent="0.25">
      <c r="F10" s="6" t="s">
        <v>141</v>
      </c>
      <c r="G10" s="9">
        <v>0.1765151314455369</v>
      </c>
    </row>
    <row r="11" spans="1:9" x14ac:dyDescent="0.25">
      <c r="F11" s="6" t="s">
        <v>142</v>
      </c>
      <c r="G11" s="10" t="s">
        <v>143</v>
      </c>
    </row>
    <row r="14" spans="1:9" ht="30" customHeight="1" x14ac:dyDescent="0.25">
      <c r="A14" s="5" t="s">
        <v>132</v>
      </c>
      <c r="B14" s="5" t="s">
        <v>133</v>
      </c>
      <c r="C14" s="5"/>
      <c r="D14" s="5"/>
      <c r="E14" s="5"/>
      <c r="F14" s="5" t="s">
        <v>134</v>
      </c>
      <c r="G14" s="5" t="s">
        <v>59</v>
      </c>
      <c r="H14" s="5"/>
      <c r="I14" s="5"/>
    </row>
    <row r="15" spans="1:9" x14ac:dyDescent="0.25">
      <c r="B15" s="11" t="s">
        <v>144</v>
      </c>
      <c r="C15" s="12">
        <v>130.99</v>
      </c>
    </row>
    <row r="16" spans="1:9" x14ac:dyDescent="0.25">
      <c r="B16" s="11" t="s">
        <v>145</v>
      </c>
      <c r="C16" s="12">
        <v>118.42</v>
      </c>
    </row>
    <row r="17" spans="2:3" x14ac:dyDescent="0.25">
      <c r="B17" s="11" t="s">
        <v>146</v>
      </c>
      <c r="C17" s="12">
        <v>115.05</v>
      </c>
    </row>
    <row r="18" spans="2:3" x14ac:dyDescent="0.25">
      <c r="B18" s="11" t="s">
        <v>147</v>
      </c>
      <c r="C18" s="12">
        <v>130.32</v>
      </c>
    </row>
    <row r="19" spans="2:3" x14ac:dyDescent="0.25">
      <c r="B19" s="11" t="s">
        <v>148</v>
      </c>
      <c r="C19" s="12">
        <v>135.54</v>
      </c>
    </row>
    <row r="20" spans="2:3" x14ac:dyDescent="0.25">
      <c r="B20" s="11" t="s">
        <v>149</v>
      </c>
      <c r="C20" s="12">
        <v>142.05000000000001</v>
      </c>
    </row>
    <row r="21" spans="2:3" x14ac:dyDescent="0.25">
      <c r="B21" s="11" t="s">
        <v>150</v>
      </c>
      <c r="C21" s="12">
        <v>150.25</v>
      </c>
    </row>
    <row r="22" spans="2:3" x14ac:dyDescent="0.25">
      <c r="B22" s="11" t="s">
        <v>151</v>
      </c>
      <c r="C22" s="12">
        <v>151.46</v>
      </c>
    </row>
    <row r="23" spans="2:3" x14ac:dyDescent="0.25">
      <c r="B23" s="11" t="s">
        <v>152</v>
      </c>
      <c r="C23" s="12">
        <v>150.97999999999999</v>
      </c>
    </row>
    <row r="24" spans="2:3" x14ac:dyDescent="0.25">
      <c r="B24" s="11" t="s">
        <v>153</v>
      </c>
      <c r="C24" s="12">
        <v>169.25</v>
      </c>
    </row>
    <row r="25" spans="2:3" x14ac:dyDescent="0.25">
      <c r="B25" s="11" t="s">
        <v>154</v>
      </c>
      <c r="C25" s="12">
        <v>171.97</v>
      </c>
    </row>
    <row r="26" spans="2:3" x14ac:dyDescent="0.25">
      <c r="B26" s="11" t="s">
        <v>155</v>
      </c>
      <c r="C26" s="12">
        <v>170.87</v>
      </c>
    </row>
    <row r="27" spans="2:3" x14ac:dyDescent="0.25">
      <c r="B27" s="11" t="s">
        <v>156</v>
      </c>
      <c r="C27" s="12">
        <v>180.06</v>
      </c>
    </row>
    <row r="28" spans="2:3" x14ac:dyDescent="0.25">
      <c r="B28" s="11" t="s">
        <v>157</v>
      </c>
      <c r="C28" s="12">
        <v>177.18</v>
      </c>
    </row>
    <row r="29" spans="2:3" x14ac:dyDescent="0.25">
      <c r="B29" s="11" t="s">
        <v>158</v>
      </c>
      <c r="C29" s="12">
        <v>176.46</v>
      </c>
    </row>
    <row r="30" spans="2:3" x14ac:dyDescent="0.25">
      <c r="B30" s="11" t="s">
        <v>159</v>
      </c>
      <c r="C30" s="12">
        <v>186.89</v>
      </c>
    </row>
    <row r="31" spans="2:3" x14ac:dyDescent="0.25">
      <c r="B31" s="11" t="s">
        <v>160</v>
      </c>
      <c r="C31" s="12">
        <v>178.32</v>
      </c>
    </row>
    <row r="32" spans="2:3" x14ac:dyDescent="0.25">
      <c r="B32" s="11" t="s">
        <v>161</v>
      </c>
      <c r="C32" s="12">
        <v>159.79</v>
      </c>
    </row>
    <row r="33" spans="2:3" x14ac:dyDescent="0.25">
      <c r="B33" s="11" t="s">
        <v>162</v>
      </c>
      <c r="C33" s="12">
        <v>172</v>
      </c>
    </row>
    <row r="34" spans="2:3" x14ac:dyDescent="0.25">
      <c r="B34" s="11" t="s">
        <v>163</v>
      </c>
      <c r="C34" s="12">
        <v>191.78</v>
      </c>
    </row>
    <row r="35" spans="2:3" x14ac:dyDescent="0.25">
      <c r="B35" s="11" t="s">
        <v>164</v>
      </c>
      <c r="C35" s="12">
        <v>194.32</v>
      </c>
    </row>
    <row r="36" spans="2:3" x14ac:dyDescent="0.25">
      <c r="B36" s="11" t="s">
        <v>165</v>
      </c>
      <c r="C36" s="12">
        <v>172.58</v>
      </c>
    </row>
    <row r="37" spans="2:3" x14ac:dyDescent="0.25">
      <c r="B37" s="11" t="s">
        <v>166</v>
      </c>
      <c r="C37" s="12">
        <v>175.73</v>
      </c>
    </row>
    <row r="38" spans="2:3" x14ac:dyDescent="0.25">
      <c r="B38" s="11" t="s">
        <v>167</v>
      </c>
      <c r="C38" s="12">
        <v>164.46</v>
      </c>
    </row>
    <row r="39" spans="2:3" x14ac:dyDescent="0.25">
      <c r="B39" s="11" t="s">
        <v>168</v>
      </c>
      <c r="C39" s="12">
        <v>151.79</v>
      </c>
    </row>
    <row r="40" spans="2:3" x14ac:dyDescent="0.25">
      <c r="B40" s="11" t="s">
        <v>169</v>
      </c>
      <c r="C40" s="12">
        <v>140.61000000000001</v>
      </c>
    </row>
    <row r="41" spans="2:3" x14ac:dyDescent="0.25">
      <c r="B41" s="11" t="s">
        <v>170</v>
      </c>
      <c r="C41" s="12">
        <v>131.09</v>
      </c>
    </row>
    <row r="42" spans="2:3" x14ac:dyDescent="0.25">
      <c r="B42" s="11" t="s">
        <v>171</v>
      </c>
      <c r="C42" s="12">
        <v>166.69</v>
      </c>
    </row>
    <row r="43" spans="2:3" x14ac:dyDescent="0.25">
      <c r="B43" s="11" t="s">
        <v>172</v>
      </c>
      <c r="C43" s="12">
        <v>161.44999999999999</v>
      </c>
    </row>
    <row r="44" spans="2:3" x14ac:dyDescent="0.25">
      <c r="B44" s="11" t="s">
        <v>173</v>
      </c>
      <c r="C44" s="12">
        <v>166.69</v>
      </c>
    </row>
    <row r="45" spans="2:3" x14ac:dyDescent="0.25">
      <c r="B45" s="11" t="s">
        <v>174</v>
      </c>
      <c r="C45" s="12">
        <v>193.4</v>
      </c>
    </row>
    <row r="46" spans="2:3" x14ac:dyDescent="0.25">
      <c r="B46" s="11" t="s">
        <v>175</v>
      </c>
      <c r="C46" s="12">
        <v>177.47</v>
      </c>
    </row>
    <row r="47" spans="2:3" x14ac:dyDescent="0.25">
      <c r="B47" s="11" t="s">
        <v>176</v>
      </c>
      <c r="C47" s="12">
        <v>193</v>
      </c>
    </row>
    <row r="48" spans="2:3" x14ac:dyDescent="0.25">
      <c r="B48" s="11" t="s">
        <v>177</v>
      </c>
      <c r="C48" s="12">
        <v>194.23</v>
      </c>
    </row>
    <row r="49" spans="2:3" x14ac:dyDescent="0.25">
      <c r="B49" s="11" t="s">
        <v>178</v>
      </c>
      <c r="C49" s="12">
        <v>185.67</v>
      </c>
    </row>
    <row r="50" spans="2:3" x14ac:dyDescent="0.25">
      <c r="B50" s="11" t="s">
        <v>179</v>
      </c>
      <c r="C50" s="12">
        <v>178.08</v>
      </c>
    </row>
    <row r="51" spans="2:3" x14ac:dyDescent="0.25">
      <c r="B51" s="11" t="s">
        <v>180</v>
      </c>
      <c r="C51" s="12">
        <v>191.65</v>
      </c>
    </row>
    <row r="52" spans="2:3" x14ac:dyDescent="0.25">
      <c r="B52" s="11" t="s">
        <v>181</v>
      </c>
      <c r="C52" s="12">
        <v>201.64</v>
      </c>
    </row>
    <row r="53" spans="2:3" x14ac:dyDescent="0.25">
      <c r="B53" s="11" t="s">
        <v>182</v>
      </c>
      <c r="C53" s="12">
        <v>205.25</v>
      </c>
    </row>
    <row r="54" spans="2:3" x14ac:dyDescent="0.25">
      <c r="B54" s="11" t="s">
        <v>183</v>
      </c>
      <c r="C54" s="12">
        <v>201.91</v>
      </c>
    </row>
    <row r="55" spans="2:3" x14ac:dyDescent="0.25">
      <c r="B55" s="11" t="s">
        <v>184</v>
      </c>
      <c r="C55" s="12">
        <v>192.47</v>
      </c>
    </row>
    <row r="56" spans="2:3" x14ac:dyDescent="0.25">
      <c r="B56" s="11" t="s">
        <v>185</v>
      </c>
      <c r="C56" s="12">
        <v>166.8</v>
      </c>
    </row>
    <row r="57" spans="2:3" x14ac:dyDescent="0.25">
      <c r="B57" s="11" t="s">
        <v>186</v>
      </c>
      <c r="C57" s="12">
        <v>204.71</v>
      </c>
    </row>
    <row r="58" spans="2:3" x14ac:dyDescent="0.25">
      <c r="B58" s="11" t="s">
        <v>187</v>
      </c>
      <c r="C58" s="12">
        <v>225.09</v>
      </c>
    </row>
    <row r="59" spans="2:3" x14ac:dyDescent="0.25">
      <c r="B59" s="11" t="s">
        <v>188</v>
      </c>
      <c r="C59" s="12">
        <v>227.07</v>
      </c>
    </row>
    <row r="60" spans="2:3" x14ac:dyDescent="0.25">
      <c r="B60" s="11" t="s">
        <v>189</v>
      </c>
      <c r="C60" s="12">
        <v>253.67</v>
      </c>
    </row>
    <row r="61" spans="2:3" x14ac:dyDescent="0.25">
      <c r="B61" s="11" t="s">
        <v>190</v>
      </c>
      <c r="C61" s="12">
        <v>293.2</v>
      </c>
    </row>
    <row r="62" spans="2:3" x14ac:dyDescent="0.25">
      <c r="B62" s="11" t="s">
        <v>191</v>
      </c>
      <c r="C62" s="12">
        <v>261.89999999999998</v>
      </c>
    </row>
    <row r="63" spans="2:3" x14ac:dyDescent="0.25">
      <c r="B63" s="11" t="s">
        <v>192</v>
      </c>
      <c r="C63" s="12">
        <v>263.11</v>
      </c>
    </row>
    <row r="64" spans="2:3" x14ac:dyDescent="0.25">
      <c r="B64" s="11" t="s">
        <v>193</v>
      </c>
      <c r="C64" s="12">
        <v>276.97000000000003</v>
      </c>
    </row>
    <row r="65" spans="2:3" x14ac:dyDescent="0.25">
      <c r="B65" s="11" t="s">
        <v>194</v>
      </c>
      <c r="C65" s="12">
        <v>273.16000000000003</v>
      </c>
    </row>
    <row r="66" spans="2:3" x14ac:dyDescent="0.25">
      <c r="B66" s="11" t="s">
        <v>195</v>
      </c>
      <c r="C66" s="12">
        <v>258.33</v>
      </c>
    </row>
    <row r="67" spans="2:3" x14ac:dyDescent="0.25">
      <c r="B67" s="11" t="s">
        <v>196</v>
      </c>
      <c r="C67" s="12">
        <v>257.62</v>
      </c>
    </row>
    <row r="68" spans="2:3" x14ac:dyDescent="0.25">
      <c r="B68" s="11" t="s">
        <v>197</v>
      </c>
      <c r="C68" s="12">
        <v>294.52999999999997</v>
      </c>
    </row>
    <row r="69" spans="2:3" x14ac:dyDescent="0.25">
      <c r="B69" s="11" t="s">
        <v>198</v>
      </c>
      <c r="C69" s="12">
        <v>325.08</v>
      </c>
    </row>
    <row r="70" spans="2:3" x14ac:dyDescent="0.25">
      <c r="B70" s="11" t="s">
        <v>199</v>
      </c>
      <c r="C70" s="12">
        <v>328.73</v>
      </c>
    </row>
    <row r="71" spans="2:3" x14ac:dyDescent="0.25">
      <c r="B71" s="11" t="s">
        <v>200</v>
      </c>
      <c r="C71" s="12">
        <v>347.71</v>
      </c>
    </row>
    <row r="72" spans="2:3" x14ac:dyDescent="0.25">
      <c r="B72" s="11" t="s">
        <v>201</v>
      </c>
      <c r="C72" s="12">
        <v>356.3</v>
      </c>
    </row>
    <row r="73" spans="2:3" x14ac:dyDescent="0.25">
      <c r="B73" s="11" t="s">
        <v>202</v>
      </c>
      <c r="C73" s="12">
        <v>379.38</v>
      </c>
    </row>
    <row r="74" spans="2:3" x14ac:dyDescent="0.25">
      <c r="B74" s="11" t="s">
        <v>203</v>
      </c>
      <c r="C74" s="12">
        <v>339.39</v>
      </c>
    </row>
    <row r="75" spans="2:3" x14ac:dyDescent="0.25">
      <c r="B75" s="11" t="s">
        <v>204</v>
      </c>
      <c r="C75" s="12">
        <v>323.57</v>
      </c>
    </row>
    <row r="76" spans="2:3" x14ac:dyDescent="0.25">
      <c r="B76" s="11" t="s">
        <v>205</v>
      </c>
      <c r="C76" s="12">
        <v>324.45999999999998</v>
      </c>
    </row>
    <row r="77" spans="2:3" x14ac:dyDescent="0.25">
      <c r="B77" s="11" t="s">
        <v>206</v>
      </c>
      <c r="C77" s="12">
        <v>336.35</v>
      </c>
    </row>
    <row r="78" spans="2:3" x14ac:dyDescent="0.25">
      <c r="B78" s="11" t="s">
        <v>207</v>
      </c>
      <c r="C78" s="12">
        <v>313.26</v>
      </c>
    </row>
    <row r="79" spans="2:3" x14ac:dyDescent="0.25">
      <c r="B79" s="11" t="s">
        <v>208</v>
      </c>
      <c r="C79" s="12">
        <v>211.03</v>
      </c>
    </row>
    <row r="80" spans="2:3" x14ac:dyDescent="0.25">
      <c r="B80" s="11" t="s">
        <v>209</v>
      </c>
      <c r="C80" s="12">
        <v>222.36</v>
      </c>
    </row>
    <row r="81" spans="2:3" x14ac:dyDescent="0.25">
      <c r="B81" s="11" t="s">
        <v>210</v>
      </c>
      <c r="C81" s="12">
        <v>200.47</v>
      </c>
    </row>
    <row r="82" spans="2:3" x14ac:dyDescent="0.25">
      <c r="B82" s="11" t="s">
        <v>211</v>
      </c>
      <c r="C82" s="12">
        <v>193.64</v>
      </c>
    </row>
    <row r="83" spans="2:3" x14ac:dyDescent="0.25">
      <c r="B83" s="11" t="s">
        <v>212</v>
      </c>
      <c r="C83" s="12">
        <v>161.25</v>
      </c>
    </row>
    <row r="84" spans="2:3" x14ac:dyDescent="0.25">
      <c r="B84" s="11" t="s">
        <v>213</v>
      </c>
      <c r="C84" s="12">
        <v>159.1</v>
      </c>
    </row>
    <row r="85" spans="2:3" x14ac:dyDescent="0.25">
      <c r="B85" s="11" t="s">
        <v>214</v>
      </c>
      <c r="C85" s="12">
        <v>162.93</v>
      </c>
    </row>
    <row r="86" spans="2:3" x14ac:dyDescent="0.25">
      <c r="B86" s="11" t="s">
        <v>215</v>
      </c>
      <c r="C86" s="12">
        <v>135.68</v>
      </c>
    </row>
    <row r="87" spans="2:3" x14ac:dyDescent="0.25">
      <c r="B87" s="11" t="s">
        <v>216</v>
      </c>
      <c r="C87" s="12">
        <v>93.16</v>
      </c>
    </row>
    <row r="88" spans="2:3" x14ac:dyDescent="0.25">
      <c r="B88" s="11" t="s">
        <v>217</v>
      </c>
      <c r="C88" s="12">
        <v>118.1</v>
      </c>
    </row>
    <row r="89" spans="2:3" x14ac:dyDescent="0.25">
      <c r="B89" s="11" t="s">
        <v>218</v>
      </c>
      <c r="C89" s="12">
        <v>120.34</v>
      </c>
    </row>
    <row r="90" spans="2:3" x14ac:dyDescent="0.25">
      <c r="B90" s="11" t="s">
        <v>219</v>
      </c>
      <c r="C90" s="12">
        <v>148.97</v>
      </c>
    </row>
    <row r="91" spans="2:3" x14ac:dyDescent="0.25">
      <c r="B91" s="11" t="s">
        <v>220</v>
      </c>
      <c r="C91" s="12">
        <v>174.94</v>
      </c>
    </row>
    <row r="92" spans="2:3" x14ac:dyDescent="0.25">
      <c r="B92" s="11" t="s">
        <v>221</v>
      </c>
      <c r="C92" s="12">
        <v>211.94</v>
      </c>
    </row>
    <row r="93" spans="2:3" x14ac:dyDescent="0.25">
      <c r="B93" s="11" t="s">
        <v>222</v>
      </c>
      <c r="C93" s="12">
        <v>240.32</v>
      </c>
    </row>
    <row r="94" spans="2:3" x14ac:dyDescent="0.25">
      <c r="B94" s="11" t="s">
        <v>223</v>
      </c>
      <c r="C94" s="12">
        <v>264.72000000000003</v>
      </c>
    </row>
    <row r="95" spans="2:3" x14ac:dyDescent="0.25">
      <c r="B95" s="11" t="s">
        <v>224</v>
      </c>
      <c r="C95" s="12">
        <v>286.98</v>
      </c>
    </row>
    <row r="96" spans="2:3" x14ac:dyDescent="0.25">
      <c r="B96" s="11" t="s">
        <v>225</v>
      </c>
      <c r="C96" s="12">
        <v>318.60000000000002</v>
      </c>
    </row>
    <row r="97" spans="2:3" x14ac:dyDescent="0.25">
      <c r="B97" s="11" t="s">
        <v>226</v>
      </c>
      <c r="C97" s="12">
        <v>295.89</v>
      </c>
    </row>
    <row r="98" spans="2:3" x14ac:dyDescent="0.25">
      <c r="B98" s="11" t="s">
        <v>227</v>
      </c>
      <c r="C98" s="12">
        <v>300.20999999999998</v>
      </c>
    </row>
    <row r="99" spans="2:3" x14ac:dyDescent="0.25">
      <c r="B99" s="11" t="s">
        <v>228</v>
      </c>
      <c r="C99" s="12">
        <v>301.27</v>
      </c>
    </row>
    <row r="100" spans="2:3" x14ac:dyDescent="0.25">
      <c r="B100" s="11" t="s">
        <v>229</v>
      </c>
      <c r="C100" s="12">
        <v>327.14999999999998</v>
      </c>
    </row>
    <row r="101" spans="2:3" x14ac:dyDescent="0.25">
      <c r="B101" s="11" t="s">
        <v>230</v>
      </c>
      <c r="C101" s="12">
        <v>353.96</v>
      </c>
    </row>
    <row r="102" spans="2:3" x14ac:dyDescent="0.25">
      <c r="B102" s="11" t="s">
        <v>231</v>
      </c>
      <c r="C102" s="12">
        <v>390.14</v>
      </c>
    </row>
    <row r="103" spans="2:3" x14ac:dyDescent="0.25">
      <c r="B103" s="11" t="s">
        <v>232</v>
      </c>
      <c r="C103" s="12">
        <v>490.13</v>
      </c>
    </row>
    <row r="104" spans="2:3" x14ac:dyDescent="0.25">
      <c r="B104" s="11" t="s">
        <v>233</v>
      </c>
      <c r="C104" s="12">
        <v>485.58</v>
      </c>
    </row>
    <row r="105" spans="2:3" x14ac:dyDescent="0.25">
      <c r="B105" s="11" t="s">
        <v>234</v>
      </c>
      <c r="C105" s="12">
        <v>430.17</v>
      </c>
    </row>
    <row r="106" spans="2:3" x14ac:dyDescent="0.25">
      <c r="B106" s="11" t="s">
        <v>235</v>
      </c>
      <c r="C106" s="12">
        <v>466.83</v>
      </c>
    </row>
    <row r="107" spans="2:3" x14ac:dyDescent="0.25">
      <c r="B107" s="11" t="s">
        <v>236</v>
      </c>
      <c r="C107" s="12">
        <v>504.22</v>
      </c>
    </row>
    <row r="108" spans="2:3" x14ac:dyDescent="0.25">
      <c r="B108" s="11" t="s">
        <v>237</v>
      </c>
      <c r="C108" s="12">
        <v>474.83</v>
      </c>
    </row>
    <row r="109" spans="2:3" x14ac:dyDescent="0.25">
      <c r="B109" s="11" t="s">
        <v>238</v>
      </c>
      <c r="C109" s="12">
        <v>521.30999999999995</v>
      </c>
    </row>
    <row r="110" spans="2:3" x14ac:dyDescent="0.25">
      <c r="B110" s="11" t="s">
        <v>239</v>
      </c>
      <c r="C110" s="12">
        <v>572.44000000000005</v>
      </c>
    </row>
    <row r="111" spans="2:3" x14ac:dyDescent="0.25">
      <c r="B111" s="11" t="s">
        <v>240</v>
      </c>
      <c r="C111" s="12">
        <v>567.58000000000004</v>
      </c>
    </row>
    <row r="112" spans="2:3" x14ac:dyDescent="0.25">
      <c r="B112" s="11" t="s">
        <v>241</v>
      </c>
      <c r="C112" s="12">
        <v>574.32000000000005</v>
      </c>
    </row>
    <row r="113" spans="2:3" x14ac:dyDescent="0.25">
      <c r="B113" s="11" t="s">
        <v>242</v>
      </c>
      <c r="C113" s="12">
        <v>585.51</v>
      </c>
    </row>
    <row r="114" spans="2:3" x14ac:dyDescent="0.25">
      <c r="B114" s="11" t="s">
        <v>243</v>
      </c>
      <c r="C114" s="12">
        <v>689.18</v>
      </c>
    </row>
    <row r="115" spans="2:3" x14ac:dyDescent="0.25">
      <c r="B115" s="11" t="s">
        <v>244</v>
      </c>
      <c r="C115" s="12">
        <v>668.2</v>
      </c>
    </row>
    <row r="116" spans="2:3" x14ac:dyDescent="0.25">
      <c r="B116" s="11" t="s">
        <v>245</v>
      </c>
      <c r="C116" s="12">
        <v>576.36</v>
      </c>
    </row>
    <row r="117" spans="2:3" x14ac:dyDescent="0.25">
      <c r="B117" s="11" t="s">
        <v>246</v>
      </c>
      <c r="C117" s="12">
        <v>549</v>
      </c>
    </row>
    <row r="118" spans="2:3" x14ac:dyDescent="0.25">
      <c r="B118" s="11" t="s">
        <v>247</v>
      </c>
      <c r="C118" s="12">
        <v>647.49</v>
      </c>
    </row>
    <row r="119" spans="2:3" x14ac:dyDescent="0.25">
      <c r="B119" s="11" t="s">
        <v>248</v>
      </c>
      <c r="C119" s="12">
        <v>738.09</v>
      </c>
    </row>
    <row r="120" spans="2:3" x14ac:dyDescent="0.25">
      <c r="B120" s="11" t="s">
        <v>249</v>
      </c>
      <c r="C120" s="12">
        <v>773.44</v>
      </c>
    </row>
    <row r="121" spans="2:3" x14ac:dyDescent="0.25">
      <c r="B121" s="11" t="s">
        <v>250</v>
      </c>
      <c r="C121" s="12">
        <v>738.7</v>
      </c>
    </row>
    <row r="122" spans="2:3" x14ac:dyDescent="0.25">
      <c r="B122" s="11" t="s">
        <v>251</v>
      </c>
      <c r="C122" s="12">
        <v>734.38</v>
      </c>
    </row>
    <row r="123" spans="2:3" x14ac:dyDescent="0.25">
      <c r="B123" s="11" t="s">
        <v>252</v>
      </c>
      <c r="C123" s="12">
        <v>648.35</v>
      </c>
    </row>
    <row r="124" spans="2:3" x14ac:dyDescent="0.25">
      <c r="B124" s="11" t="s">
        <v>253</v>
      </c>
      <c r="C124" s="12">
        <v>647.95000000000005</v>
      </c>
    </row>
    <row r="125" spans="2:3" x14ac:dyDescent="0.25">
      <c r="B125" s="11" t="s">
        <v>254</v>
      </c>
      <c r="C125" s="12">
        <v>660.09</v>
      </c>
    </row>
    <row r="126" spans="2:3" x14ac:dyDescent="0.25">
      <c r="B126" s="11" t="s">
        <v>255</v>
      </c>
      <c r="C126" s="12">
        <v>716.5</v>
      </c>
    </row>
    <row r="127" spans="2:3" x14ac:dyDescent="0.25">
      <c r="B127" s="11" t="s">
        <v>256</v>
      </c>
      <c r="C127" s="12">
        <v>648.17999999999995</v>
      </c>
    </row>
    <row r="128" spans="2:3" x14ac:dyDescent="0.25">
      <c r="B128" s="11" t="s">
        <v>257</v>
      </c>
      <c r="C128" s="12">
        <v>572.13</v>
      </c>
    </row>
    <row r="129" spans="2:3" x14ac:dyDescent="0.25">
      <c r="B129" s="11" t="s">
        <v>258</v>
      </c>
      <c r="C129" s="12">
        <v>611.91</v>
      </c>
    </row>
    <row r="130" spans="2:3" x14ac:dyDescent="0.25">
      <c r="B130" s="11" t="s">
        <v>259</v>
      </c>
      <c r="C130" s="12">
        <v>632.51</v>
      </c>
    </row>
    <row r="131" spans="2:3" x14ac:dyDescent="0.25">
      <c r="B131" s="11" t="s">
        <v>260</v>
      </c>
      <c r="C131" s="12">
        <v>563.29</v>
      </c>
    </row>
    <row r="132" spans="2:3" x14ac:dyDescent="0.25">
      <c r="B132" s="11" t="s">
        <v>261</v>
      </c>
      <c r="C132" s="12">
        <v>556.71</v>
      </c>
    </row>
    <row r="133" spans="2:3" x14ac:dyDescent="0.25">
      <c r="B133" s="11" t="s">
        <v>262</v>
      </c>
      <c r="C133" s="12">
        <v>572.34</v>
      </c>
    </row>
    <row r="134" spans="2:3" x14ac:dyDescent="0.25">
      <c r="B134" s="11" t="s">
        <v>263</v>
      </c>
      <c r="C134" s="12">
        <v>665.6</v>
      </c>
    </row>
  </sheetData>
  <mergeCells count="2">
    <mergeCell ref="A1:I1"/>
    <mergeCell ref="A2:I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showGridLines="0" workbookViewId="0">
      <selection sqref="A1:M1"/>
    </sheetView>
  </sheetViews>
  <sheetFormatPr defaultRowHeight="15" x14ac:dyDescent="0.25"/>
  <cols>
    <col min="1" max="1" width="2" customWidth="1"/>
    <col min="2" max="2" width="34" customWidth="1"/>
    <col min="3" max="14" width="13" customWidth="1"/>
  </cols>
  <sheetData>
    <row r="1" spans="1:14" ht="27.95" customHeight="1" x14ac:dyDescent="0.25">
      <c r="A1" s="54" t="s">
        <v>264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ht="15.95" customHeight="1" x14ac:dyDescent="0.25">
      <c r="A2" s="53" t="s">
        <v>265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4" ht="30" customHeight="1" x14ac:dyDescent="0.25">
      <c r="A3" s="8" t="s">
        <v>266</v>
      </c>
      <c r="B3" s="8" t="s">
        <v>267</v>
      </c>
      <c r="C3" s="8" t="s">
        <v>268</v>
      </c>
      <c r="D3" s="8" t="s">
        <v>269</v>
      </c>
      <c r="E3" s="8" t="s">
        <v>270</v>
      </c>
      <c r="F3" s="8" t="s">
        <v>271</v>
      </c>
      <c r="G3" s="8" t="s">
        <v>272</v>
      </c>
      <c r="H3" s="8" t="s">
        <v>273</v>
      </c>
      <c r="I3" s="8" t="s">
        <v>274</v>
      </c>
      <c r="J3" s="8" t="s">
        <v>275</v>
      </c>
      <c r="K3" s="8" t="s">
        <v>276</v>
      </c>
      <c r="L3" s="8" t="s">
        <v>277</v>
      </c>
      <c r="M3" s="8" t="s">
        <v>278</v>
      </c>
    </row>
    <row r="4" spans="1:14" x14ac:dyDescent="0.25">
      <c r="A4" s="55" t="s">
        <v>279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4" x14ac:dyDescent="0.25">
      <c r="B5" s="13" t="s">
        <v>280</v>
      </c>
      <c r="C5" s="14">
        <v>70697</v>
      </c>
      <c r="D5" s="14">
        <v>85965</v>
      </c>
      <c r="E5" s="14">
        <v>117929</v>
      </c>
      <c r="F5" s="14">
        <v>116609</v>
      </c>
      <c r="G5" s="14">
        <v>134902</v>
      </c>
      <c r="H5" s="14">
        <v>164501</v>
      </c>
      <c r="I5" s="14">
        <v>200966</v>
      </c>
      <c r="J5" s="15">
        <v>254221.99</v>
      </c>
      <c r="K5" s="15">
        <v>305574.83198000002</v>
      </c>
      <c r="L5" s="15">
        <v>351411.05677700002</v>
      </c>
      <c r="M5" s="15">
        <v>393580.38359023997</v>
      </c>
      <c r="N5" s="15">
        <v>432938.42194926413</v>
      </c>
    </row>
    <row r="6" spans="1:14" x14ac:dyDescent="0.25">
      <c r="B6" s="13" t="s">
        <v>281</v>
      </c>
      <c r="C6" s="14">
        <v>12770</v>
      </c>
      <c r="D6" s="14">
        <v>16692</v>
      </c>
      <c r="E6" s="14">
        <v>22649</v>
      </c>
      <c r="F6" s="14">
        <v>25249</v>
      </c>
      <c r="G6" s="14">
        <v>25959</v>
      </c>
      <c r="H6" s="14">
        <v>30161</v>
      </c>
      <c r="I6" s="14">
        <v>36175</v>
      </c>
      <c r="J6" s="15">
        <v>48302.17809999999</v>
      </c>
      <c r="K6" s="15">
        <v>58059.218076199992</v>
      </c>
      <c r="L6" s="15">
        <v>67470.922901184007</v>
      </c>
      <c r="M6" s="15">
        <v>76748.174800096778</v>
      </c>
      <c r="N6" s="15">
        <v>85288.869124005025</v>
      </c>
    </row>
    <row r="7" spans="1:14" x14ac:dyDescent="0.25">
      <c r="B7" s="13" t="s">
        <v>282</v>
      </c>
      <c r="C7" s="14">
        <v>57927</v>
      </c>
      <c r="D7" s="14">
        <v>69273</v>
      </c>
      <c r="E7" s="14">
        <v>95280</v>
      </c>
      <c r="F7" s="14">
        <v>91360</v>
      </c>
      <c r="G7" s="14">
        <v>108943</v>
      </c>
      <c r="H7" s="14">
        <v>134340</v>
      </c>
      <c r="I7" s="14">
        <v>164791</v>
      </c>
      <c r="J7" s="15">
        <v>205919.8119</v>
      </c>
      <c r="K7" s="15">
        <v>247515.6139038</v>
      </c>
      <c r="L7" s="15">
        <v>283940.13387581601</v>
      </c>
      <c r="M7" s="15">
        <v>316832.20879014331</v>
      </c>
      <c r="N7" s="15">
        <v>347649.55282525899</v>
      </c>
    </row>
    <row r="8" spans="1:14" x14ac:dyDescent="0.25">
      <c r="A8" s="55" t="s">
        <v>283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4" x14ac:dyDescent="0.25">
      <c r="B9" s="13" t="s">
        <v>284</v>
      </c>
      <c r="C9" s="14">
        <v>13600</v>
      </c>
      <c r="D9" s="14">
        <v>18447</v>
      </c>
      <c r="E9" s="14">
        <v>24655</v>
      </c>
      <c r="F9" s="14">
        <v>35338</v>
      </c>
      <c r="G9" s="14">
        <v>38483</v>
      </c>
      <c r="H9" s="14">
        <v>43873</v>
      </c>
      <c r="I9" s="14">
        <v>57372</v>
      </c>
      <c r="J9" s="15">
        <v>74995.487049999996</v>
      </c>
      <c r="K9" s="15">
        <v>85560.952954400011</v>
      </c>
      <c r="L9" s="15">
        <v>94880.985329790012</v>
      </c>
      <c r="M9" s="15">
        <v>102330.8997334624</v>
      </c>
      <c r="N9" s="15">
        <v>112563.9897068087</v>
      </c>
    </row>
    <row r="10" spans="1:14" x14ac:dyDescent="0.25">
      <c r="B10" s="13" t="s">
        <v>285</v>
      </c>
      <c r="C10" s="14">
        <v>9876</v>
      </c>
      <c r="D10" s="14">
        <v>11591</v>
      </c>
      <c r="E10" s="14">
        <v>14043</v>
      </c>
      <c r="F10" s="14">
        <v>15262</v>
      </c>
      <c r="G10" s="14">
        <v>12301</v>
      </c>
      <c r="H10" s="14">
        <v>11347</v>
      </c>
      <c r="I10" s="14">
        <v>11991</v>
      </c>
      <c r="J10" s="15">
        <v>15253.3194</v>
      </c>
      <c r="K10" s="15">
        <v>18334.489918800002</v>
      </c>
      <c r="L10" s="15">
        <v>20381.841293066002</v>
      </c>
      <c r="M10" s="15">
        <v>22827.662248233919</v>
      </c>
      <c r="N10" s="15">
        <v>24677.490051108049</v>
      </c>
    </row>
    <row r="11" spans="1:14" x14ac:dyDescent="0.25">
      <c r="B11" s="13" t="s">
        <v>286</v>
      </c>
      <c r="C11" s="14">
        <v>10465</v>
      </c>
      <c r="D11" s="14">
        <v>6564</v>
      </c>
      <c r="E11" s="14">
        <v>9829</v>
      </c>
      <c r="F11" s="14">
        <v>11816</v>
      </c>
      <c r="G11" s="14">
        <v>11408</v>
      </c>
      <c r="H11" s="14">
        <v>9740</v>
      </c>
      <c r="I11" s="14">
        <v>12152</v>
      </c>
      <c r="J11" s="15">
        <v>15253.3194</v>
      </c>
      <c r="K11" s="15">
        <v>17723.340254840001</v>
      </c>
      <c r="L11" s="15">
        <v>20381.841293066002</v>
      </c>
      <c r="M11" s="15">
        <v>22434.081864643678</v>
      </c>
      <c r="N11" s="15">
        <v>24677.490051108049</v>
      </c>
    </row>
    <row r="12" spans="1:14" x14ac:dyDescent="0.25">
      <c r="B12" s="13" t="s">
        <v>287</v>
      </c>
      <c r="C12" s="14">
        <v>33941</v>
      </c>
      <c r="D12" s="14">
        <v>36602</v>
      </c>
      <c r="E12" s="14">
        <v>48527</v>
      </c>
      <c r="F12" s="14">
        <v>62416</v>
      </c>
      <c r="G12" s="14">
        <v>62192</v>
      </c>
      <c r="H12" s="14">
        <v>64960</v>
      </c>
      <c r="I12" s="14">
        <v>81515</v>
      </c>
      <c r="J12" s="15">
        <v>105502.12585</v>
      </c>
      <c r="K12" s="15">
        <v>121618.78312804</v>
      </c>
      <c r="L12" s="15">
        <v>135644.66791592201</v>
      </c>
      <c r="M12" s="15">
        <v>147592.64384634001</v>
      </c>
      <c r="N12" s="15">
        <v>161918.9698090248</v>
      </c>
    </row>
    <row r="13" spans="1:14" x14ac:dyDescent="0.25">
      <c r="B13" s="6" t="s">
        <v>288</v>
      </c>
      <c r="C13" s="14">
        <v>23986</v>
      </c>
      <c r="D13" s="14">
        <v>32671</v>
      </c>
      <c r="E13" s="14">
        <v>46753</v>
      </c>
      <c r="F13" s="14">
        <v>28944</v>
      </c>
      <c r="G13" s="14">
        <v>46751</v>
      </c>
      <c r="H13" s="14">
        <v>69380</v>
      </c>
      <c r="I13" s="14">
        <v>83276</v>
      </c>
      <c r="J13" s="15">
        <v>100417.68605</v>
      </c>
      <c r="K13" s="15">
        <v>125896.83077576</v>
      </c>
      <c r="L13" s="15">
        <v>148295.46595989401</v>
      </c>
      <c r="M13" s="15">
        <v>169239.56494380321</v>
      </c>
      <c r="N13" s="15">
        <v>185730.5830162343</v>
      </c>
    </row>
    <row r="14" spans="1:14" x14ac:dyDescent="0.25">
      <c r="A14" s="55" t="s">
        <v>289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4" x14ac:dyDescent="0.25">
      <c r="B15" s="13" t="s">
        <v>290</v>
      </c>
      <c r="C15" s="14">
        <v>826</v>
      </c>
      <c r="D15" s="14">
        <v>509</v>
      </c>
      <c r="E15" s="14">
        <v>531</v>
      </c>
      <c r="F15" s="14">
        <v>-125</v>
      </c>
      <c r="G15" s="14">
        <v>677</v>
      </c>
      <c r="H15" s="14">
        <v>1283</v>
      </c>
      <c r="I15" s="14">
        <v>2656</v>
      </c>
      <c r="J15" s="15">
        <v>1500</v>
      </c>
      <c r="K15" s="15">
        <v>800</v>
      </c>
      <c r="L15" s="15">
        <v>0</v>
      </c>
      <c r="M15" s="15">
        <v>-500</v>
      </c>
      <c r="N15" s="15">
        <v>-1000</v>
      </c>
    </row>
    <row r="16" spans="1:14" x14ac:dyDescent="0.25">
      <c r="B16" s="13" t="s">
        <v>291</v>
      </c>
      <c r="C16" s="14">
        <v>24812</v>
      </c>
      <c r="D16" s="14">
        <v>33180</v>
      </c>
      <c r="E16" s="14">
        <v>47284</v>
      </c>
      <c r="F16" s="14">
        <v>28819</v>
      </c>
      <c r="G16" s="14">
        <v>47428</v>
      </c>
      <c r="H16" s="14">
        <v>70663</v>
      </c>
      <c r="I16" s="14">
        <v>85932</v>
      </c>
      <c r="J16" s="15">
        <v>101917.68605</v>
      </c>
      <c r="K16" s="15">
        <v>126696.83077576</v>
      </c>
      <c r="L16" s="15">
        <v>148295.46595989401</v>
      </c>
      <c r="M16" s="15">
        <v>168739.56494380321</v>
      </c>
      <c r="N16" s="15">
        <v>184730.5830162343</v>
      </c>
    </row>
    <row r="17" spans="1:14" x14ac:dyDescent="0.25">
      <c r="B17" s="13" t="s">
        <v>292</v>
      </c>
      <c r="C17" s="14">
        <v>6327</v>
      </c>
      <c r="D17" s="14">
        <v>4034</v>
      </c>
      <c r="E17" s="14">
        <v>7914</v>
      </c>
      <c r="F17" s="14">
        <v>5619</v>
      </c>
      <c r="G17" s="14">
        <v>8330</v>
      </c>
      <c r="H17" s="14">
        <v>8303</v>
      </c>
      <c r="I17" s="14">
        <v>25474</v>
      </c>
      <c r="J17" s="15">
        <v>20383.53721000001</v>
      </c>
      <c r="K17" s="15">
        <v>25339.366155152002</v>
      </c>
      <c r="L17" s="15">
        <v>29659.093191978802</v>
      </c>
      <c r="M17" s="15">
        <v>33747.912988760647</v>
      </c>
      <c r="N17" s="15">
        <v>36946.116603246854</v>
      </c>
    </row>
    <row r="18" spans="1:14" x14ac:dyDescent="0.25">
      <c r="B18" s="16" t="s">
        <v>293</v>
      </c>
      <c r="C18" s="14">
        <v>18485</v>
      </c>
      <c r="D18" s="14">
        <v>29146</v>
      </c>
      <c r="E18" s="14">
        <v>39370</v>
      </c>
      <c r="F18" s="14">
        <v>23200</v>
      </c>
      <c r="G18" s="14">
        <v>39098</v>
      </c>
      <c r="H18" s="14">
        <v>62360</v>
      </c>
      <c r="I18" s="14">
        <v>60458</v>
      </c>
      <c r="J18" s="15">
        <v>81534.148840000009</v>
      </c>
      <c r="K18" s="15">
        <v>101357.46462060801</v>
      </c>
      <c r="L18" s="15">
        <v>118636.37276791521</v>
      </c>
      <c r="M18" s="15">
        <v>134991.65195504259</v>
      </c>
      <c r="N18" s="15">
        <v>147784.46641298741</v>
      </c>
    </row>
    <row r="19" spans="1:14" x14ac:dyDescent="0.25">
      <c r="A19" s="55" t="s">
        <v>294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</row>
    <row r="20" spans="1:14" x14ac:dyDescent="0.25">
      <c r="B20" s="13" t="s">
        <v>295</v>
      </c>
      <c r="C20" s="17">
        <v>6.43</v>
      </c>
      <c r="D20" s="17">
        <v>10.09</v>
      </c>
      <c r="E20" s="17">
        <v>13.77</v>
      </c>
      <c r="F20" s="17">
        <v>8.59</v>
      </c>
      <c r="G20" s="17">
        <v>14.87</v>
      </c>
      <c r="H20" s="17">
        <v>23.86</v>
      </c>
      <c r="I20" s="17">
        <v>23.49</v>
      </c>
      <c r="J20" s="18">
        <v>33.137281605009733</v>
      </c>
      <c r="K20" s="18">
        <v>42.206880763718587</v>
      </c>
      <c r="L20" s="18">
        <v>50.616902065441167</v>
      </c>
      <c r="M20" s="18">
        <v>59.011247493890963</v>
      </c>
      <c r="N20" s="18">
        <v>66.192205805609262</v>
      </c>
    </row>
    <row r="21" spans="1:14" x14ac:dyDescent="0.25">
      <c r="B21" s="13" t="s">
        <v>296</v>
      </c>
      <c r="C21" s="12">
        <v>2854</v>
      </c>
      <c r="D21" s="12">
        <v>2851</v>
      </c>
      <c r="E21" s="12">
        <v>2815</v>
      </c>
      <c r="F21" s="12">
        <v>2687</v>
      </c>
      <c r="G21" s="12">
        <v>2574</v>
      </c>
      <c r="H21" s="12">
        <v>2534</v>
      </c>
      <c r="I21" s="12">
        <v>2521</v>
      </c>
      <c r="J21" s="19">
        <v>2460.4960000000001</v>
      </c>
      <c r="K21" s="19">
        <v>2401.4440960000002</v>
      </c>
      <c r="L21" s="19">
        <v>2343.8094376959998</v>
      </c>
      <c r="M21" s="19">
        <v>2287.5580111912959</v>
      </c>
      <c r="N21" s="19">
        <v>2232.6566189227051</v>
      </c>
    </row>
    <row r="22" spans="1:14" x14ac:dyDescent="0.25">
      <c r="B22" s="13" t="s">
        <v>297</v>
      </c>
      <c r="C22" s="14">
        <v>5741</v>
      </c>
      <c r="D22" s="14">
        <v>6862</v>
      </c>
      <c r="E22" s="14">
        <v>7967</v>
      </c>
      <c r="F22" s="14">
        <v>8686</v>
      </c>
      <c r="G22" s="14">
        <v>11178</v>
      </c>
      <c r="H22" s="14">
        <v>15498</v>
      </c>
      <c r="I22" s="14">
        <v>18616</v>
      </c>
      <c r="J22" s="15">
        <v>25930.642980000001</v>
      </c>
      <c r="K22" s="15">
        <v>36057.830173640003</v>
      </c>
      <c r="L22" s="15">
        <v>43926.382097125002</v>
      </c>
      <c r="M22" s="15">
        <v>49984.708715960493</v>
      </c>
      <c r="N22" s="15">
        <v>54983.179587556537</v>
      </c>
    </row>
    <row r="23" spans="1:14" x14ac:dyDescent="0.25">
      <c r="B23" s="13" t="s">
        <v>298</v>
      </c>
      <c r="C23" s="14">
        <v>4836</v>
      </c>
      <c r="D23" s="14">
        <v>6536</v>
      </c>
      <c r="E23" s="14">
        <v>9164</v>
      </c>
      <c r="F23" s="14">
        <v>11992</v>
      </c>
      <c r="G23" s="14">
        <v>14027</v>
      </c>
      <c r="H23" s="14">
        <v>16690</v>
      </c>
      <c r="I23" s="14">
        <v>20427</v>
      </c>
      <c r="J23" s="15">
        <v>21863.09114</v>
      </c>
      <c r="K23" s="15">
        <v>25057.136222360001</v>
      </c>
      <c r="L23" s="15">
        <v>27410.062428606001</v>
      </c>
      <c r="M23" s="15">
        <v>29124.948385677759</v>
      </c>
      <c r="N23" s="15">
        <v>30305.689536448492</v>
      </c>
    </row>
  </sheetData>
  <mergeCells count="6">
    <mergeCell ref="A19:M19"/>
    <mergeCell ref="A14:M14"/>
    <mergeCell ref="A1:M1"/>
    <mergeCell ref="A8:M8"/>
    <mergeCell ref="A4:M4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3"/>
  <sheetViews>
    <sheetView showGridLines="0" workbookViewId="0">
      <selection sqref="A1:M1"/>
    </sheetView>
  </sheetViews>
  <sheetFormatPr defaultRowHeight="15" x14ac:dyDescent="0.25"/>
  <cols>
    <col min="1" max="1" width="2" customWidth="1"/>
    <col min="2" max="2" width="34" customWidth="1"/>
    <col min="3" max="14" width="13" customWidth="1"/>
  </cols>
  <sheetData>
    <row r="1" spans="1:14" ht="27.95" customHeight="1" x14ac:dyDescent="0.25">
      <c r="A1" s="54" t="s">
        <v>299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ht="15.95" customHeight="1" x14ac:dyDescent="0.25">
      <c r="A2" s="53" t="s">
        <v>300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4" ht="30" customHeight="1" x14ac:dyDescent="0.25">
      <c r="A3" s="8" t="s">
        <v>266</v>
      </c>
      <c r="B3" s="8" t="s">
        <v>267</v>
      </c>
      <c r="C3" s="8" t="s">
        <v>268</v>
      </c>
      <c r="D3" s="8" t="s">
        <v>269</v>
      </c>
      <c r="E3" s="8" t="s">
        <v>270</v>
      </c>
      <c r="F3" s="8" t="s">
        <v>271</v>
      </c>
      <c r="G3" s="8" t="s">
        <v>272</v>
      </c>
      <c r="H3" s="8" t="s">
        <v>273</v>
      </c>
      <c r="I3" s="8" t="s">
        <v>274</v>
      </c>
      <c r="J3" s="8" t="s">
        <v>275</v>
      </c>
      <c r="K3" s="8" t="s">
        <v>276</v>
      </c>
      <c r="L3" s="8" t="s">
        <v>277</v>
      </c>
      <c r="M3" s="8" t="s">
        <v>278</v>
      </c>
    </row>
    <row r="4" spans="1:14" x14ac:dyDescent="0.25">
      <c r="A4" s="55" t="s">
        <v>301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4" x14ac:dyDescent="0.25">
      <c r="B5" s="13" t="s">
        <v>302</v>
      </c>
      <c r="C5" s="14">
        <v>19079</v>
      </c>
      <c r="D5" s="14">
        <v>17576</v>
      </c>
      <c r="E5" s="14">
        <v>16601</v>
      </c>
      <c r="F5" s="14">
        <v>14681</v>
      </c>
      <c r="G5" s="14">
        <v>41862</v>
      </c>
      <c r="H5" s="14">
        <v>43889</v>
      </c>
      <c r="I5" s="14">
        <v>35873</v>
      </c>
      <c r="J5" s="15">
        <v>53304.951310000019</v>
      </c>
      <c r="K5" s="15">
        <v>76349.983755708032</v>
      </c>
      <c r="L5" s="15">
        <v>99626.158511406407</v>
      </c>
      <c r="M5" s="15">
        <v>136422.6706427368</v>
      </c>
      <c r="N5" s="15">
        <v>168078.15929713231</v>
      </c>
    </row>
    <row r="6" spans="1:14" x14ac:dyDescent="0.25">
      <c r="B6" s="13" t="s">
        <v>303</v>
      </c>
      <c r="C6" s="14"/>
      <c r="D6" s="14"/>
      <c r="E6" s="14">
        <v>31397</v>
      </c>
      <c r="F6" s="14">
        <v>26057</v>
      </c>
      <c r="G6" s="14">
        <v>23541</v>
      </c>
      <c r="H6" s="14">
        <v>33926</v>
      </c>
      <c r="I6" s="14">
        <v>45719</v>
      </c>
      <c r="J6" s="15">
        <v>48004.95</v>
      </c>
      <c r="K6" s="15">
        <v>48004.95</v>
      </c>
      <c r="L6" s="15">
        <v>48004.95</v>
      </c>
      <c r="M6" s="15">
        <v>48004.95</v>
      </c>
      <c r="N6" s="15">
        <v>48004.95</v>
      </c>
    </row>
    <row r="7" spans="1:14" x14ac:dyDescent="0.25">
      <c r="B7" s="13" t="s">
        <v>304</v>
      </c>
      <c r="C7" s="14">
        <v>9518</v>
      </c>
      <c r="D7" s="14">
        <v>11335</v>
      </c>
      <c r="E7" s="14">
        <v>14039</v>
      </c>
      <c r="F7" s="14">
        <v>13466</v>
      </c>
      <c r="G7" s="14">
        <v>16169</v>
      </c>
      <c r="H7" s="14">
        <v>16994</v>
      </c>
      <c r="I7" s="14">
        <v>19769</v>
      </c>
      <c r="J7" s="15">
        <v>25007.785</v>
      </c>
      <c r="K7" s="15">
        <v>30059.35757</v>
      </c>
      <c r="L7" s="15">
        <v>34568.261205499999</v>
      </c>
      <c r="M7" s="15">
        <v>38716.45255016</v>
      </c>
      <c r="N7" s="15">
        <v>42588.097805176003</v>
      </c>
    </row>
    <row r="8" spans="1:14" x14ac:dyDescent="0.25">
      <c r="B8" s="13" t="s">
        <v>305</v>
      </c>
      <c r="C8" s="14">
        <v>66225</v>
      </c>
      <c r="D8" s="14">
        <v>75670</v>
      </c>
      <c r="E8" s="14">
        <v>66666</v>
      </c>
      <c r="F8" s="14">
        <v>59549</v>
      </c>
      <c r="G8" s="14">
        <v>85365</v>
      </c>
      <c r="H8" s="14">
        <v>100045</v>
      </c>
      <c r="I8" s="14">
        <v>108722</v>
      </c>
    </row>
    <row r="9" spans="1:14" x14ac:dyDescent="0.25">
      <c r="B9" s="13" t="s">
        <v>306</v>
      </c>
      <c r="C9" s="14">
        <v>35323</v>
      </c>
      <c r="D9" s="14">
        <v>45633</v>
      </c>
      <c r="E9" s="14">
        <v>57809</v>
      </c>
      <c r="F9" s="14">
        <v>79518</v>
      </c>
      <c r="G9" s="14">
        <v>96587</v>
      </c>
      <c r="H9" s="14">
        <v>121346</v>
      </c>
      <c r="I9" s="14">
        <v>176400</v>
      </c>
      <c r="J9" s="15">
        <v>230469.35702</v>
      </c>
      <c r="K9" s="15">
        <v>228342.16982636001</v>
      </c>
      <c r="L9" s="15">
        <v>222473.617902875</v>
      </c>
      <c r="M9" s="15">
        <v>201415.2912840395</v>
      </c>
      <c r="N9" s="15">
        <v>181416.82041244351</v>
      </c>
    </row>
    <row r="10" spans="1:14" x14ac:dyDescent="0.25">
      <c r="B10" s="13" t="s">
        <v>307</v>
      </c>
      <c r="C10" s="14">
        <v>9460</v>
      </c>
      <c r="D10" s="14">
        <v>9348</v>
      </c>
      <c r="E10" s="14">
        <v>12155</v>
      </c>
      <c r="F10" s="14">
        <v>12673</v>
      </c>
      <c r="G10" s="14">
        <v>13294</v>
      </c>
      <c r="H10" s="14">
        <v>14922</v>
      </c>
      <c r="I10" s="14">
        <v>20404</v>
      </c>
    </row>
    <row r="11" spans="1:14" x14ac:dyDescent="0.25">
      <c r="B11" s="13" t="s">
        <v>308</v>
      </c>
      <c r="C11" s="14">
        <v>18715</v>
      </c>
      <c r="D11" s="14">
        <v>19050</v>
      </c>
      <c r="E11" s="14">
        <v>19197</v>
      </c>
      <c r="F11" s="14">
        <v>20306</v>
      </c>
      <c r="G11" s="14">
        <v>20654</v>
      </c>
      <c r="H11" s="14">
        <v>20654</v>
      </c>
      <c r="I11" s="14">
        <v>24534</v>
      </c>
    </row>
    <row r="12" spans="1:14" x14ac:dyDescent="0.25">
      <c r="B12" s="13" t="s">
        <v>309</v>
      </c>
      <c r="C12" s="14">
        <v>894</v>
      </c>
      <c r="D12" s="14">
        <v>623</v>
      </c>
      <c r="E12" s="14">
        <v>634</v>
      </c>
      <c r="F12" s="14">
        <v>897</v>
      </c>
      <c r="G12" s="14">
        <v>788</v>
      </c>
      <c r="H12" s="14">
        <v>915</v>
      </c>
      <c r="I12" s="14">
        <v>3692</v>
      </c>
    </row>
    <row r="13" spans="1:14" x14ac:dyDescent="0.25">
      <c r="B13" s="6" t="s">
        <v>310</v>
      </c>
      <c r="C13" s="14">
        <v>133376</v>
      </c>
      <c r="D13" s="14">
        <v>159316</v>
      </c>
      <c r="E13" s="14">
        <v>165987</v>
      </c>
      <c r="F13" s="14">
        <v>185727</v>
      </c>
      <c r="G13" s="14">
        <v>229623</v>
      </c>
      <c r="H13" s="14">
        <v>276054</v>
      </c>
      <c r="I13" s="14">
        <v>366021</v>
      </c>
      <c r="J13" s="15">
        <v>697304.29652800004</v>
      </c>
      <c r="K13" s="15">
        <v>748554.38437770889</v>
      </c>
      <c r="L13" s="15">
        <v>792277.92170621036</v>
      </c>
      <c r="M13" s="15">
        <v>832060.65205940546</v>
      </c>
      <c r="N13" s="15">
        <v>864340.07180954097</v>
      </c>
    </row>
    <row r="14" spans="1:14" x14ac:dyDescent="0.25">
      <c r="A14" s="55" t="s">
        <v>311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4" x14ac:dyDescent="0.25">
      <c r="B15" s="13" t="s">
        <v>312</v>
      </c>
      <c r="C15" s="14">
        <v>15053</v>
      </c>
      <c r="D15" s="14">
        <v>14981</v>
      </c>
      <c r="E15" s="14">
        <v>21135</v>
      </c>
      <c r="F15" s="14">
        <v>27026</v>
      </c>
      <c r="G15" s="14">
        <v>31960</v>
      </c>
      <c r="H15" s="14">
        <v>33596</v>
      </c>
      <c r="I15" s="14">
        <v>41836</v>
      </c>
    </row>
    <row r="16" spans="1:14" x14ac:dyDescent="0.25">
      <c r="B16" s="13" t="s">
        <v>313</v>
      </c>
      <c r="C16" s="14">
        <v>0</v>
      </c>
      <c r="D16" s="14">
        <v>0</v>
      </c>
      <c r="E16" s="14">
        <v>0</v>
      </c>
      <c r="F16" s="14">
        <v>9923</v>
      </c>
      <c r="G16" s="14">
        <v>18385</v>
      </c>
      <c r="H16" s="14">
        <v>28826</v>
      </c>
      <c r="I16" s="14">
        <v>58744</v>
      </c>
      <c r="J16" s="15">
        <v>64618.400000000009</v>
      </c>
      <c r="K16" s="15">
        <v>64618.400000000009</v>
      </c>
      <c r="L16" s="15">
        <v>64618.400000000009</v>
      </c>
      <c r="M16" s="15">
        <v>64618.400000000009</v>
      </c>
      <c r="N16" s="15">
        <v>64618.400000000009</v>
      </c>
    </row>
    <row r="17" spans="1:14" x14ac:dyDescent="0.25">
      <c r="B17" s="13" t="s">
        <v>314</v>
      </c>
      <c r="C17" s="14">
        <v>9524</v>
      </c>
      <c r="D17" s="14">
        <v>9631</v>
      </c>
      <c r="E17" s="14">
        <v>12746</v>
      </c>
      <c r="F17" s="14">
        <v>15301</v>
      </c>
      <c r="G17" s="14">
        <v>17226</v>
      </c>
      <c r="H17" s="14">
        <v>18292</v>
      </c>
      <c r="I17" s="14">
        <v>22940</v>
      </c>
    </row>
    <row r="18" spans="1:14" x14ac:dyDescent="0.25">
      <c r="B18" s="13" t="s">
        <v>315</v>
      </c>
      <c r="C18" s="14">
        <v>32322</v>
      </c>
      <c r="D18" s="14">
        <v>31026</v>
      </c>
      <c r="E18" s="14">
        <v>41108</v>
      </c>
      <c r="F18" s="14">
        <v>60014</v>
      </c>
      <c r="G18" s="14">
        <v>76455</v>
      </c>
      <c r="H18" s="14">
        <v>93417</v>
      </c>
      <c r="I18" s="14">
        <v>148778</v>
      </c>
      <c r="J18" s="15">
        <v>428894.18928799999</v>
      </c>
      <c r="K18" s="15">
        <v>462477.24117790093</v>
      </c>
      <c r="L18" s="15">
        <v>491175.26300441998</v>
      </c>
      <c r="M18" s="15">
        <v>516945.54043625802</v>
      </c>
      <c r="N18" s="15">
        <v>538745.47374616005</v>
      </c>
    </row>
    <row r="19" spans="1:14" x14ac:dyDescent="0.25">
      <c r="A19" s="55" t="s">
        <v>316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</row>
    <row r="20" spans="1:14" x14ac:dyDescent="0.25">
      <c r="B20" s="13" t="s">
        <v>317</v>
      </c>
      <c r="C20" s="14">
        <v>45851</v>
      </c>
      <c r="D20" s="14">
        <v>50018</v>
      </c>
      <c r="E20" s="14">
        <v>55811</v>
      </c>
      <c r="F20" s="14">
        <v>64444</v>
      </c>
      <c r="G20" s="14">
        <v>73253</v>
      </c>
      <c r="H20" s="14">
        <v>83228</v>
      </c>
      <c r="I20" s="14">
        <v>95793</v>
      </c>
    </row>
    <row r="21" spans="1:14" x14ac:dyDescent="0.25">
      <c r="B21" s="13" t="s">
        <v>318</v>
      </c>
      <c r="C21" s="14">
        <v>55692</v>
      </c>
      <c r="D21" s="14">
        <v>77345</v>
      </c>
      <c r="E21" s="14">
        <v>69761</v>
      </c>
      <c r="F21" s="14">
        <v>64799</v>
      </c>
      <c r="G21" s="14">
        <v>82070</v>
      </c>
      <c r="H21" s="14">
        <v>102506</v>
      </c>
      <c r="I21" s="14">
        <v>121179</v>
      </c>
    </row>
    <row r="22" spans="1:14" x14ac:dyDescent="0.25">
      <c r="B22" s="13" t="s">
        <v>319</v>
      </c>
      <c r="C22" s="14">
        <v>101054</v>
      </c>
      <c r="D22" s="14">
        <v>128290</v>
      </c>
      <c r="E22" s="14">
        <v>124879</v>
      </c>
      <c r="F22" s="14">
        <v>125713</v>
      </c>
      <c r="G22" s="14">
        <v>153168</v>
      </c>
      <c r="H22" s="14">
        <v>182637</v>
      </c>
      <c r="I22" s="14">
        <v>217243</v>
      </c>
      <c r="J22" s="15">
        <v>268410.10723999998</v>
      </c>
      <c r="K22" s="15">
        <v>286077.14319980802</v>
      </c>
      <c r="L22" s="15">
        <v>301102.65870179038</v>
      </c>
      <c r="M22" s="15">
        <v>315115.11162314739</v>
      </c>
      <c r="N22" s="15">
        <v>325594.59806338092</v>
      </c>
    </row>
    <row r="23" spans="1:14" x14ac:dyDescent="0.25">
      <c r="B23" s="6" t="s">
        <v>320</v>
      </c>
      <c r="C23" s="14">
        <v>133376</v>
      </c>
      <c r="D23" s="14">
        <v>159316</v>
      </c>
      <c r="E23" s="14">
        <v>165987</v>
      </c>
      <c r="F23" s="14">
        <v>185727</v>
      </c>
      <c r="G23" s="14">
        <v>229623</v>
      </c>
      <c r="H23" s="14">
        <v>276054</v>
      </c>
      <c r="I23" s="14">
        <v>366021</v>
      </c>
      <c r="J23" s="15">
        <v>697304.29652800004</v>
      </c>
      <c r="K23" s="15">
        <v>748554.38437770889</v>
      </c>
      <c r="L23" s="15">
        <v>792277.92170621036</v>
      </c>
      <c r="M23" s="15">
        <v>832060.65205940546</v>
      </c>
      <c r="N23" s="15">
        <v>864340.07180954097</v>
      </c>
    </row>
  </sheetData>
  <mergeCells count="5">
    <mergeCell ref="A19:M19"/>
    <mergeCell ref="A14:M14"/>
    <mergeCell ref="A1:M1"/>
    <mergeCell ref="A4:M4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showGridLines="0" workbookViewId="0">
      <selection sqref="A1:M1"/>
    </sheetView>
  </sheetViews>
  <sheetFormatPr defaultRowHeight="15" x14ac:dyDescent="0.25"/>
  <cols>
    <col min="1" max="1" width="2" customWidth="1"/>
    <col min="2" max="2" width="34" customWidth="1"/>
    <col min="3" max="14" width="13" customWidth="1"/>
  </cols>
  <sheetData>
    <row r="1" spans="1:14" ht="27.95" customHeight="1" x14ac:dyDescent="0.25">
      <c r="A1" s="54" t="s">
        <v>321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ht="15.95" customHeight="1" x14ac:dyDescent="0.25">
      <c r="A2" s="53" t="s">
        <v>300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4" ht="30" customHeight="1" x14ac:dyDescent="0.25">
      <c r="A3" s="8" t="s">
        <v>266</v>
      </c>
      <c r="B3" s="8" t="s">
        <v>267</v>
      </c>
      <c r="C3" s="8" t="s">
        <v>268</v>
      </c>
      <c r="D3" s="8" t="s">
        <v>269</v>
      </c>
      <c r="E3" s="8" t="s">
        <v>270</v>
      </c>
      <c r="F3" s="8" t="s">
        <v>271</v>
      </c>
      <c r="G3" s="8" t="s">
        <v>272</v>
      </c>
      <c r="H3" s="8" t="s">
        <v>273</v>
      </c>
      <c r="I3" s="8" t="s">
        <v>274</v>
      </c>
      <c r="J3" s="8" t="s">
        <v>275</v>
      </c>
      <c r="K3" s="8" t="s">
        <v>276</v>
      </c>
      <c r="L3" s="8" t="s">
        <v>277</v>
      </c>
      <c r="M3" s="8" t="s">
        <v>278</v>
      </c>
    </row>
    <row r="4" spans="1:14" x14ac:dyDescent="0.25">
      <c r="A4" s="55" t="s">
        <v>322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4" x14ac:dyDescent="0.25">
      <c r="B5" s="13" t="s">
        <v>323</v>
      </c>
      <c r="C5" s="14">
        <v>36314</v>
      </c>
      <c r="D5" s="14">
        <v>38747</v>
      </c>
      <c r="E5" s="14">
        <v>57683</v>
      </c>
      <c r="F5" s="14">
        <v>50475</v>
      </c>
      <c r="G5" s="14">
        <v>71113</v>
      </c>
      <c r="H5" s="14">
        <v>91328</v>
      </c>
      <c r="I5" s="14">
        <v>115800</v>
      </c>
      <c r="J5" s="15">
        <v>130598.99291</v>
      </c>
      <c r="K5" s="15">
        <v>164000.305176508</v>
      </c>
      <c r="L5" s="15">
        <v>191729.87257753121</v>
      </c>
      <c r="M5" s="15">
        <v>216069.21097463201</v>
      </c>
      <c r="N5" s="15">
        <v>235238.0276467388</v>
      </c>
    </row>
    <row r="6" spans="1:14" x14ac:dyDescent="0.25">
      <c r="B6" s="13" t="s">
        <v>324</v>
      </c>
      <c r="C6" s="14">
        <v>5741</v>
      </c>
      <c r="D6" s="14">
        <v>6862</v>
      </c>
      <c r="E6" s="14">
        <v>7967</v>
      </c>
      <c r="F6" s="14">
        <v>8686</v>
      </c>
      <c r="G6" s="14">
        <v>11178</v>
      </c>
      <c r="H6" s="14">
        <v>15498</v>
      </c>
      <c r="I6" s="14">
        <v>18616</v>
      </c>
      <c r="J6" s="15">
        <v>25930.642980000001</v>
      </c>
      <c r="K6" s="15">
        <v>36057.830173640003</v>
      </c>
      <c r="L6" s="15">
        <v>43926.382097125002</v>
      </c>
      <c r="M6" s="15">
        <v>49984.708715960493</v>
      </c>
      <c r="N6" s="15">
        <v>54983.179587556537</v>
      </c>
    </row>
    <row r="7" spans="1:14" x14ac:dyDescent="0.25">
      <c r="B7" s="13" t="s">
        <v>325</v>
      </c>
      <c r="C7" s="14">
        <v>4836</v>
      </c>
      <c r="D7" s="14">
        <v>6536</v>
      </c>
      <c r="E7" s="14">
        <v>9164</v>
      </c>
      <c r="F7" s="14">
        <v>11992</v>
      </c>
      <c r="G7" s="14">
        <v>14027</v>
      </c>
      <c r="H7" s="14">
        <v>16690</v>
      </c>
      <c r="I7" s="14">
        <v>20427</v>
      </c>
      <c r="J7" s="15">
        <v>21863.09114</v>
      </c>
      <c r="K7" s="15">
        <v>25057.136222360001</v>
      </c>
      <c r="L7" s="15">
        <v>27410.062428606001</v>
      </c>
      <c r="M7" s="15">
        <v>29124.948385677759</v>
      </c>
      <c r="N7" s="15">
        <v>30305.689536448492</v>
      </c>
    </row>
    <row r="8" spans="1:14" x14ac:dyDescent="0.25">
      <c r="A8" s="55" t="s">
        <v>326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4" x14ac:dyDescent="0.25">
      <c r="B9" s="13" t="s">
        <v>327</v>
      </c>
      <c r="C9" s="14">
        <v>15102</v>
      </c>
      <c r="D9" s="14">
        <v>15163</v>
      </c>
      <c r="E9" s="14">
        <v>18690</v>
      </c>
      <c r="F9" s="14">
        <v>31186</v>
      </c>
      <c r="G9" s="14">
        <v>27045</v>
      </c>
      <c r="H9" s="14">
        <v>37256</v>
      </c>
      <c r="I9" s="14">
        <v>69691</v>
      </c>
      <c r="J9" s="15">
        <v>80000</v>
      </c>
      <c r="K9" s="15">
        <v>88000</v>
      </c>
      <c r="L9" s="15">
        <v>90000</v>
      </c>
      <c r="M9" s="15">
        <v>75000</v>
      </c>
      <c r="N9" s="15">
        <v>60000</v>
      </c>
    </row>
    <row r="10" spans="1:14" x14ac:dyDescent="0.25">
      <c r="B10" s="16" t="s">
        <v>328</v>
      </c>
      <c r="C10" s="14">
        <v>21212</v>
      </c>
      <c r="D10" s="14">
        <v>23584</v>
      </c>
      <c r="E10" s="14">
        <v>38993</v>
      </c>
      <c r="F10" s="14">
        <v>19289</v>
      </c>
      <c r="G10" s="14">
        <v>44068</v>
      </c>
      <c r="H10" s="14">
        <v>54072</v>
      </c>
      <c r="I10" s="14">
        <v>46109</v>
      </c>
      <c r="J10" s="15">
        <v>50598.992910000023</v>
      </c>
      <c r="K10" s="15">
        <v>76000.305176508031</v>
      </c>
      <c r="L10" s="15">
        <v>101729.87257753121</v>
      </c>
      <c r="M10" s="15">
        <v>141069.21097463201</v>
      </c>
      <c r="N10" s="15">
        <v>175238.0276467388</v>
      </c>
    </row>
    <row r="11" spans="1:14" x14ac:dyDescent="0.25">
      <c r="A11" s="55" t="s">
        <v>329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4" x14ac:dyDescent="0.25">
      <c r="B12" s="13" t="s">
        <v>330</v>
      </c>
      <c r="C12" s="14">
        <v>4202</v>
      </c>
      <c r="D12" s="14">
        <v>6272</v>
      </c>
      <c r="E12" s="14">
        <v>44537</v>
      </c>
      <c r="F12" s="14">
        <v>27956</v>
      </c>
      <c r="G12" s="14">
        <v>19774</v>
      </c>
      <c r="H12" s="14">
        <v>30125</v>
      </c>
      <c r="I12" s="14">
        <v>26248</v>
      </c>
      <c r="J12" s="15">
        <v>28000</v>
      </c>
      <c r="K12" s="15">
        <v>30000</v>
      </c>
      <c r="L12" s="15">
        <v>32000</v>
      </c>
      <c r="M12" s="15">
        <v>34000</v>
      </c>
      <c r="N12" s="15">
        <v>36000</v>
      </c>
    </row>
    <row r="13" spans="1:14" x14ac:dyDescent="0.25">
      <c r="B13" s="13" t="s">
        <v>331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1273</v>
      </c>
      <c r="I13" s="14">
        <v>1325</v>
      </c>
      <c r="J13" s="15">
        <v>5167.0415999999996</v>
      </c>
      <c r="K13" s="15">
        <v>5523.3214207999999</v>
      </c>
      <c r="L13" s="15">
        <v>5976.7140661248004</v>
      </c>
      <c r="M13" s="15">
        <v>6519.5403318951949</v>
      </c>
      <c r="N13" s="15">
        <v>7032.8683496065196</v>
      </c>
    </row>
    <row r="14" spans="1:14" x14ac:dyDescent="0.25">
      <c r="B14" s="13" t="s">
        <v>332</v>
      </c>
      <c r="C14" s="14">
        <v>0</v>
      </c>
      <c r="D14" s="14">
        <v>0</v>
      </c>
      <c r="E14" s="14">
        <v>0</v>
      </c>
      <c r="F14" s="14">
        <v>9923</v>
      </c>
      <c r="G14" s="14">
        <v>8462</v>
      </c>
      <c r="H14" s="14">
        <v>10441</v>
      </c>
      <c r="I14" s="14">
        <v>29918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</row>
  </sheetData>
  <mergeCells count="5">
    <mergeCell ref="A1:M1"/>
    <mergeCell ref="A8:M8"/>
    <mergeCell ref="A4:M4"/>
    <mergeCell ref="A2:M2"/>
    <mergeCell ref="A11:M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"/>
  <sheetViews>
    <sheetView showGridLines="0" workbookViewId="0">
      <selection activeCell="G13" sqref="G13"/>
    </sheetView>
  </sheetViews>
  <sheetFormatPr defaultRowHeight="15" x14ac:dyDescent="0.25"/>
  <cols>
    <col min="1" max="1" width="2" customWidth="1"/>
    <col min="2" max="2" width="36" customWidth="1"/>
    <col min="3" max="14" width="13" customWidth="1"/>
  </cols>
  <sheetData>
    <row r="1" spans="1:14" ht="27.95" customHeight="1" x14ac:dyDescent="0.25">
      <c r="A1" s="54" t="s">
        <v>333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4" ht="15.95" customHeight="1" x14ac:dyDescent="0.25">
      <c r="A2" s="53" t="s">
        <v>334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4" ht="30" customHeight="1" x14ac:dyDescent="0.25">
      <c r="A3" s="8" t="s">
        <v>266</v>
      </c>
      <c r="B3" s="8" t="s">
        <v>267</v>
      </c>
      <c r="C3" s="8" t="s">
        <v>268</v>
      </c>
      <c r="D3" s="8" t="s">
        <v>269</v>
      </c>
      <c r="E3" s="8" t="s">
        <v>270</v>
      </c>
      <c r="F3" s="8" t="s">
        <v>271</v>
      </c>
      <c r="G3" s="8" t="s">
        <v>272</v>
      </c>
      <c r="H3" s="8" t="s">
        <v>273</v>
      </c>
      <c r="I3" s="8" t="s">
        <v>274</v>
      </c>
      <c r="J3" s="8" t="s">
        <v>275</v>
      </c>
      <c r="K3" s="8" t="s">
        <v>276</v>
      </c>
      <c r="L3" s="8" t="s">
        <v>277</v>
      </c>
      <c r="M3" s="8" t="s">
        <v>278</v>
      </c>
    </row>
    <row r="4" spans="1:14" x14ac:dyDescent="0.25">
      <c r="A4" s="55" t="s">
        <v>335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4" x14ac:dyDescent="0.25">
      <c r="B5" s="13" t="s">
        <v>336</v>
      </c>
      <c r="C5" s="9"/>
      <c r="D5" s="9">
        <v>0.2159639022872257</v>
      </c>
      <c r="E5" s="9">
        <v>0.37182574303495608</v>
      </c>
      <c r="F5" s="9">
        <v>-1.119317555478294E-2</v>
      </c>
      <c r="G5" s="9">
        <v>0.15687468377226449</v>
      </c>
      <c r="H5" s="9">
        <v>0.21941112807816049</v>
      </c>
      <c r="I5" s="9">
        <v>0.22167038498246219</v>
      </c>
      <c r="J5" s="9">
        <v>0.26500000000000012</v>
      </c>
      <c r="K5" s="9">
        <v>0.20200000000000001</v>
      </c>
      <c r="L5" s="9">
        <v>0.14999999999999991</v>
      </c>
      <c r="M5" s="9">
        <v>0.12000000000000011</v>
      </c>
      <c r="N5" s="9">
        <v>0.1000000000000001</v>
      </c>
    </row>
    <row r="6" spans="1:14" x14ac:dyDescent="0.25">
      <c r="B6" s="13" t="s">
        <v>337</v>
      </c>
      <c r="C6" s="9"/>
      <c r="D6" s="9">
        <v>0.57673789559101984</v>
      </c>
      <c r="E6" s="9">
        <v>0.35078569958141759</v>
      </c>
      <c r="F6" s="9">
        <v>-0.41071882143764282</v>
      </c>
      <c r="G6" s="9">
        <v>0.68525862068965515</v>
      </c>
      <c r="H6" s="9">
        <v>0.59496649444984406</v>
      </c>
      <c r="I6" s="9">
        <v>-3.050032071840925E-2</v>
      </c>
      <c r="J6" s="9">
        <v>0.348608105461643</v>
      </c>
      <c r="K6" s="9">
        <v>0.24312899640994121</v>
      </c>
      <c r="L6" s="9">
        <v>0.1704749444156286</v>
      </c>
      <c r="M6" s="9">
        <v>0.13786058023809231</v>
      </c>
      <c r="N6" s="9">
        <v>9.4767448747166361E-2</v>
      </c>
    </row>
    <row r="7" spans="1:14" x14ac:dyDescent="0.25">
      <c r="A7" s="55" t="s">
        <v>338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1:14" x14ac:dyDescent="0.25">
      <c r="B8" s="13" t="s">
        <v>339</v>
      </c>
      <c r="C8" s="9">
        <v>0.81936998741106415</v>
      </c>
      <c r="D8" s="9">
        <v>0.80582795323678236</v>
      </c>
      <c r="E8" s="9">
        <v>0.80794376277251567</v>
      </c>
      <c r="F8" s="9">
        <v>0.78347297378418479</v>
      </c>
      <c r="G8" s="9">
        <v>0.8075714222176098</v>
      </c>
      <c r="H8" s="9">
        <v>0.81665157050717019</v>
      </c>
      <c r="I8" s="9">
        <v>0.81999442691798607</v>
      </c>
      <c r="J8" s="9">
        <v>0.81</v>
      </c>
      <c r="K8" s="9">
        <v>0.81</v>
      </c>
      <c r="L8" s="9">
        <v>0.80799999999999994</v>
      </c>
      <c r="M8" s="9">
        <v>0.80500000000000005</v>
      </c>
      <c r="N8" s="9">
        <v>0.80300000000000005</v>
      </c>
    </row>
    <row r="9" spans="1:14" x14ac:dyDescent="0.25">
      <c r="B9" s="13" t="s">
        <v>340</v>
      </c>
      <c r="C9" s="9">
        <v>0.33927889443682191</v>
      </c>
      <c r="D9" s="9">
        <v>0.3800500203571221</v>
      </c>
      <c r="E9" s="9">
        <v>0.39645040660058167</v>
      </c>
      <c r="F9" s="9">
        <v>0.24821411726367601</v>
      </c>
      <c r="G9" s="9">
        <v>0.34655527716416362</v>
      </c>
      <c r="H9" s="9">
        <v>0.42176035404040102</v>
      </c>
      <c r="I9" s="9">
        <v>0.41437855159579229</v>
      </c>
      <c r="J9" s="9">
        <v>0.39500000000000002</v>
      </c>
      <c r="K9" s="9">
        <v>0.41199999999999998</v>
      </c>
      <c r="L9" s="9">
        <v>0.42199999999999988</v>
      </c>
      <c r="M9" s="9">
        <v>0.43</v>
      </c>
      <c r="N9" s="9">
        <v>0.42899999999999999</v>
      </c>
    </row>
    <row r="10" spans="1:14" x14ac:dyDescent="0.25">
      <c r="B10" s="13" t="s">
        <v>341</v>
      </c>
      <c r="C10" s="9">
        <v>0.26146795479298979</v>
      </c>
      <c r="D10" s="9">
        <v>0.3390449601582039</v>
      </c>
      <c r="E10" s="9">
        <v>0.33384494059985248</v>
      </c>
      <c r="F10" s="9">
        <v>0.1989554837105198</v>
      </c>
      <c r="G10" s="9">
        <v>0.28982520644616089</v>
      </c>
      <c r="H10" s="9">
        <v>0.37908584142345642</v>
      </c>
      <c r="I10" s="9">
        <v>0.30083695749529771</v>
      </c>
      <c r="J10" s="9">
        <v>0.32072028403207758</v>
      </c>
      <c r="K10" s="9">
        <v>0.33169441332538102</v>
      </c>
      <c r="L10" s="9">
        <v>0.3375999999999999</v>
      </c>
      <c r="M10" s="9">
        <v>0.34298368918605349</v>
      </c>
      <c r="N10" s="9">
        <v>0.34135216215646069</v>
      </c>
    </row>
    <row r="11" spans="1:14" x14ac:dyDescent="0.25">
      <c r="B11" s="13" t="s">
        <v>342</v>
      </c>
      <c r="C11" s="9">
        <v>0.25499758181525067</v>
      </c>
      <c r="D11" s="9">
        <v>0.12157926461723929</v>
      </c>
      <c r="E11" s="9">
        <v>0.16737162676592501</v>
      </c>
      <c r="F11" s="9">
        <v>0.1949755369721364</v>
      </c>
      <c r="G11" s="9">
        <v>0.1756346462005566</v>
      </c>
      <c r="H11" s="9">
        <v>0.1175013797885739</v>
      </c>
      <c r="I11" s="9">
        <v>0.29644369966950612</v>
      </c>
      <c r="J11" s="9">
        <v>0.2</v>
      </c>
      <c r="K11" s="9">
        <v>0.2</v>
      </c>
      <c r="L11" s="9">
        <v>0.2</v>
      </c>
      <c r="M11" s="9">
        <v>0.2</v>
      </c>
      <c r="N11" s="9">
        <v>0.2</v>
      </c>
    </row>
    <row r="12" spans="1:14" x14ac:dyDescent="0.25">
      <c r="A12" s="55" t="s">
        <v>343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</row>
    <row r="13" spans="1:14" x14ac:dyDescent="0.25">
      <c r="B13" s="13" t="s">
        <v>344</v>
      </c>
      <c r="C13" s="9">
        <v>0.18292200209788831</v>
      </c>
      <c r="D13" s="9">
        <v>0.22718840127835371</v>
      </c>
      <c r="E13" s="9">
        <v>0.31526517669103687</v>
      </c>
      <c r="F13" s="9">
        <v>0.18454734196145189</v>
      </c>
      <c r="G13" s="9">
        <v>0.25526219575890519</v>
      </c>
      <c r="H13" s="9">
        <v>0.34144231453648488</v>
      </c>
      <c r="I13" s="9">
        <v>0.27829665397734332</v>
      </c>
      <c r="J13" s="9">
        <v>0.30376705884289179</v>
      </c>
      <c r="K13" s="9">
        <v>0.35430116326985189</v>
      </c>
      <c r="L13" s="9">
        <v>0.3940063939635009</v>
      </c>
      <c r="M13" s="9">
        <v>0.42838837928052731</v>
      </c>
      <c r="N13" s="9">
        <v>0.45389102673079168</v>
      </c>
    </row>
    <row r="14" spans="1:14" x14ac:dyDescent="0.25">
      <c r="B14" s="13" t="s">
        <v>345</v>
      </c>
      <c r="C14" s="9">
        <v>0.1385931501919386</v>
      </c>
      <c r="D14" s="9">
        <v>0.18294458811418821</v>
      </c>
      <c r="E14" s="9">
        <v>0.23718724960388471</v>
      </c>
      <c r="F14" s="9">
        <v>0.12491452508251361</v>
      </c>
      <c r="G14" s="9">
        <v>0.17027039974218611</v>
      </c>
      <c r="H14" s="9">
        <v>0.22589783158367571</v>
      </c>
      <c r="I14" s="9">
        <v>0.16517631502017641</v>
      </c>
      <c r="J14" s="9">
        <v>0.11692764442435361</v>
      </c>
      <c r="K14" s="9">
        <v>0.13540427621016321</v>
      </c>
      <c r="L14" s="9">
        <v>0.14974085420987851</v>
      </c>
      <c r="M14" s="9">
        <v>0.162237754688831</v>
      </c>
      <c r="N14" s="9">
        <v>0.1709795383009293</v>
      </c>
    </row>
    <row r="15" spans="1:14" x14ac:dyDescent="0.25">
      <c r="B15" s="13" t="s">
        <v>346</v>
      </c>
      <c r="C15" s="9">
        <v>0.30004102012815248</v>
      </c>
      <c r="D15" s="9">
        <v>0.27434420985284708</v>
      </c>
      <c r="E15" s="9">
        <v>0.33064810182397891</v>
      </c>
      <c r="F15" s="9">
        <v>0.16541604850397479</v>
      </c>
      <c r="G15" s="9">
        <v>0.32666676550384721</v>
      </c>
      <c r="H15" s="9">
        <v>0.32870316897769619</v>
      </c>
      <c r="I15" s="9">
        <v>0.22943682015863379</v>
      </c>
      <c r="J15" s="9">
        <v>0.19903468189356871</v>
      </c>
      <c r="K15" s="9">
        <v>0.24871258108548111</v>
      </c>
      <c r="L15" s="9">
        <v>0.2894896748854644</v>
      </c>
      <c r="M15" s="9">
        <v>0.35842541157107172</v>
      </c>
      <c r="N15" s="9">
        <v>0.40476432389101952</v>
      </c>
    </row>
    <row r="16" spans="1:14" x14ac:dyDescent="0.25">
      <c r="A16" s="55" t="s">
        <v>347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spans="2:14" x14ac:dyDescent="0.25">
      <c r="B17" s="13" t="s">
        <v>348</v>
      </c>
      <c r="C17" s="20">
        <v>0</v>
      </c>
      <c r="D17" s="20">
        <v>0</v>
      </c>
      <c r="E17" s="20">
        <v>0</v>
      </c>
      <c r="F17" s="20">
        <v>0.26369917618921068</v>
      </c>
      <c r="G17" s="20">
        <v>0.31737126482418132</v>
      </c>
      <c r="H17" s="20">
        <v>0.33961686184877121</v>
      </c>
      <c r="I17" s="20">
        <v>0.57653201428963996</v>
      </c>
      <c r="J17" s="20">
        <v>0.51143058634876826</v>
      </c>
      <c r="K17" s="20">
        <v>0.39899067813916728</v>
      </c>
      <c r="L17" s="20">
        <v>0.3361657410599454</v>
      </c>
      <c r="M17" s="20">
        <v>0.29475932989194348</v>
      </c>
      <c r="N17" s="20">
        <v>0.26844497506509579</v>
      </c>
    </row>
    <row r="18" spans="2:14" x14ac:dyDescent="0.25">
      <c r="B18" s="13" t="s">
        <v>349</v>
      </c>
      <c r="C18" s="20">
        <v>0</v>
      </c>
      <c r="D18" s="20">
        <v>0</v>
      </c>
      <c r="E18" s="20">
        <v>0</v>
      </c>
      <c r="F18" s="20">
        <v>7.8933761822564091E-2</v>
      </c>
      <c r="G18" s="20">
        <v>0.1200315992896689</v>
      </c>
      <c r="H18" s="20">
        <v>0.157832202675252</v>
      </c>
      <c r="I18" s="20">
        <v>0.27040687156778348</v>
      </c>
      <c r="J18" s="20">
        <v>0.24074503253419291</v>
      </c>
      <c r="K18" s="20">
        <v>0.22587753525931939</v>
      </c>
      <c r="L18" s="20">
        <v>0.21460587654258331</v>
      </c>
      <c r="M18" s="20">
        <v>0.2050628409001167</v>
      </c>
      <c r="N18" s="20">
        <v>0.19846275209830491</v>
      </c>
    </row>
    <row r="19" spans="2:14" x14ac:dyDescent="0.25">
      <c r="B19" s="13" t="s">
        <v>350</v>
      </c>
      <c r="C19" s="14">
        <v>19079</v>
      </c>
      <c r="D19" s="14">
        <v>17576</v>
      </c>
      <c r="E19" s="14">
        <v>47998</v>
      </c>
      <c r="F19" s="14">
        <v>30815</v>
      </c>
      <c r="G19" s="14">
        <v>47018</v>
      </c>
      <c r="H19" s="14">
        <v>48989</v>
      </c>
      <c r="I19" s="14">
        <v>22848</v>
      </c>
      <c r="J19" s="14">
        <v>36691.501310000007</v>
      </c>
      <c r="K19" s="14">
        <v>59736.533755708027</v>
      </c>
      <c r="L19" s="14">
        <v>83012.708511406396</v>
      </c>
      <c r="M19" s="14">
        <v>119809.22064273679</v>
      </c>
      <c r="N19" s="14">
        <v>151464.7092971323</v>
      </c>
    </row>
  </sheetData>
  <mergeCells count="6">
    <mergeCell ref="A1:M1"/>
    <mergeCell ref="A12:M12"/>
    <mergeCell ref="A4:M4"/>
    <mergeCell ref="A7:M7"/>
    <mergeCell ref="A16:M16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showGridLines="0" workbookViewId="0">
      <selection activeCell="A6" sqref="A6"/>
    </sheetView>
  </sheetViews>
  <sheetFormatPr defaultRowHeight="15" x14ac:dyDescent="0.25"/>
  <cols>
    <col min="1" max="1" width="2" customWidth="1"/>
    <col min="2" max="2" width="34" customWidth="1"/>
    <col min="3" max="8" width="16" customWidth="1"/>
  </cols>
  <sheetData>
    <row r="1" spans="1:8" ht="27.95" customHeight="1" x14ac:dyDescent="0.25">
      <c r="A1" s="54" t="s">
        <v>351</v>
      </c>
      <c r="B1" s="45"/>
      <c r="C1" s="45"/>
      <c r="D1" s="45"/>
      <c r="E1" s="45"/>
      <c r="F1" s="45"/>
      <c r="G1" s="45"/>
      <c r="H1" s="45"/>
    </row>
    <row r="2" spans="1:8" ht="15.95" customHeight="1" x14ac:dyDescent="0.25">
      <c r="A2" s="53" t="s">
        <v>352</v>
      </c>
      <c r="B2" s="45"/>
      <c r="C2" s="45"/>
      <c r="D2" s="45"/>
      <c r="E2" s="45"/>
      <c r="F2" s="45"/>
      <c r="G2" s="45"/>
      <c r="H2" s="45"/>
    </row>
    <row r="3" spans="1:8" x14ac:dyDescent="0.25">
      <c r="A3" s="55" t="s">
        <v>353</v>
      </c>
      <c r="B3" s="45"/>
      <c r="C3" s="45"/>
      <c r="D3" s="45"/>
      <c r="E3" s="45"/>
      <c r="F3" s="45"/>
      <c r="G3" s="45"/>
      <c r="H3" s="45"/>
    </row>
    <row r="4" spans="1:8" ht="30" customHeight="1" x14ac:dyDescent="0.25">
      <c r="A4" s="8" t="s">
        <v>354</v>
      </c>
      <c r="B4" s="8" t="s">
        <v>274</v>
      </c>
      <c r="C4" s="8" t="s">
        <v>275</v>
      </c>
      <c r="D4" s="8" t="s">
        <v>276</v>
      </c>
      <c r="E4" s="8" t="s">
        <v>277</v>
      </c>
      <c r="F4" s="8" t="s">
        <v>278</v>
      </c>
      <c r="G4" s="8"/>
    </row>
    <row r="5" spans="1:8" x14ac:dyDescent="0.25">
      <c r="B5" s="6" t="s">
        <v>336</v>
      </c>
      <c r="C5" s="21">
        <v>0.26500000000000001</v>
      </c>
      <c r="D5" s="21">
        <v>0.20200000000000001</v>
      </c>
      <c r="E5" s="21">
        <v>0.15</v>
      </c>
      <c r="F5" s="21">
        <v>0.12</v>
      </c>
      <c r="G5" s="21">
        <v>0.1</v>
      </c>
    </row>
    <row r="6" spans="1:8" x14ac:dyDescent="0.25">
      <c r="B6" s="6" t="s">
        <v>339</v>
      </c>
      <c r="C6" s="21">
        <v>0.81</v>
      </c>
      <c r="D6" s="21">
        <v>0.81</v>
      </c>
      <c r="E6" s="21">
        <v>0.80800000000000005</v>
      </c>
      <c r="F6" s="21">
        <v>0.80500000000000005</v>
      </c>
      <c r="G6" s="21">
        <v>0.80300000000000005</v>
      </c>
    </row>
    <row r="7" spans="1:8" x14ac:dyDescent="0.25">
      <c r="B7" s="6" t="s">
        <v>355</v>
      </c>
      <c r="C7" s="21">
        <v>0.29499999999999998</v>
      </c>
      <c r="D7" s="21">
        <v>0.28000000000000003</v>
      </c>
      <c r="E7" s="21">
        <v>0.27</v>
      </c>
      <c r="F7" s="21">
        <v>0.26</v>
      </c>
      <c r="G7" s="21">
        <v>0.26</v>
      </c>
    </row>
    <row r="8" spans="1:8" x14ac:dyDescent="0.25">
      <c r="B8" s="6" t="s">
        <v>356</v>
      </c>
      <c r="C8" s="21">
        <v>0.06</v>
      </c>
      <c r="D8" s="21">
        <v>0.06</v>
      </c>
      <c r="E8" s="21">
        <v>5.8000000000000003E-2</v>
      </c>
      <c r="F8" s="21">
        <v>5.8000000000000003E-2</v>
      </c>
      <c r="G8" s="21">
        <v>5.7000000000000002E-2</v>
      </c>
    </row>
    <row r="9" spans="1:8" x14ac:dyDescent="0.25">
      <c r="B9" s="6" t="s">
        <v>357</v>
      </c>
      <c r="C9" s="21">
        <v>0.06</v>
      </c>
      <c r="D9" s="21">
        <v>5.8000000000000003E-2</v>
      </c>
      <c r="E9" s="21">
        <v>5.8000000000000003E-2</v>
      </c>
      <c r="F9" s="21">
        <v>5.7000000000000002E-2</v>
      </c>
      <c r="G9" s="21">
        <v>5.7000000000000002E-2</v>
      </c>
    </row>
    <row r="10" spans="1:8" x14ac:dyDescent="0.25">
      <c r="B10" s="6" t="s">
        <v>342</v>
      </c>
      <c r="C10" s="21">
        <v>0.2</v>
      </c>
      <c r="D10" s="21">
        <v>0.2</v>
      </c>
      <c r="E10" s="21">
        <v>0.2</v>
      </c>
      <c r="F10" s="21">
        <v>0.2</v>
      </c>
      <c r="G10" s="21">
        <v>0.2</v>
      </c>
    </row>
    <row r="11" spans="1:8" x14ac:dyDescent="0.25">
      <c r="B11" s="6" t="s">
        <v>358</v>
      </c>
      <c r="C11" s="15">
        <v>1500</v>
      </c>
      <c r="D11" s="15">
        <v>800</v>
      </c>
      <c r="E11" s="15">
        <v>0</v>
      </c>
      <c r="F11" s="15">
        <v>-500</v>
      </c>
      <c r="G11" s="15">
        <v>-1000</v>
      </c>
    </row>
    <row r="12" spans="1:8" x14ac:dyDescent="0.25">
      <c r="B12" s="6" t="s">
        <v>359</v>
      </c>
      <c r="C12" s="15">
        <v>80000</v>
      </c>
      <c r="D12" s="15">
        <v>88000</v>
      </c>
      <c r="E12" s="15">
        <v>90000</v>
      </c>
      <c r="F12" s="15">
        <v>75000</v>
      </c>
      <c r="G12" s="15">
        <v>60000</v>
      </c>
    </row>
    <row r="13" spans="1:8" x14ac:dyDescent="0.25">
      <c r="B13" s="6" t="s">
        <v>360</v>
      </c>
      <c r="C13" s="21">
        <v>0.10199999999999999</v>
      </c>
      <c r="D13" s="21">
        <v>0.11799999999999999</v>
      </c>
      <c r="E13" s="21">
        <v>0.125</v>
      </c>
      <c r="F13" s="21">
        <v>0.127</v>
      </c>
      <c r="G13" s="21">
        <v>0.127</v>
      </c>
    </row>
    <row r="14" spans="1:8" x14ac:dyDescent="0.25">
      <c r="B14" s="6" t="s">
        <v>361</v>
      </c>
      <c r="C14" s="21">
        <v>8.5999999999999993E-2</v>
      </c>
      <c r="D14" s="21">
        <v>8.2000000000000003E-2</v>
      </c>
      <c r="E14" s="21">
        <v>7.8E-2</v>
      </c>
      <c r="F14" s="21">
        <v>7.3999999999999996E-2</v>
      </c>
      <c r="G14" s="21">
        <v>7.0000000000000007E-2</v>
      </c>
    </row>
    <row r="15" spans="1:8" x14ac:dyDescent="0.25">
      <c r="B15" s="6" t="s">
        <v>362</v>
      </c>
      <c r="C15" s="15">
        <v>28000</v>
      </c>
      <c r="D15" s="15">
        <v>30000</v>
      </c>
      <c r="E15" s="15">
        <v>32000</v>
      </c>
      <c r="F15" s="15">
        <v>34000</v>
      </c>
      <c r="G15" s="15">
        <v>36000</v>
      </c>
    </row>
    <row r="16" spans="1:8" x14ac:dyDescent="0.25">
      <c r="B16" s="6" t="s">
        <v>363</v>
      </c>
      <c r="C16" s="18">
        <v>2.1</v>
      </c>
      <c r="D16" s="18">
        <v>2.2999999999999998</v>
      </c>
      <c r="E16" s="18">
        <v>2.5499999999999998</v>
      </c>
      <c r="F16" s="18">
        <v>2.85</v>
      </c>
      <c r="G16" s="18">
        <v>3.15</v>
      </c>
    </row>
    <row r="18" spans="1:8" x14ac:dyDescent="0.25">
      <c r="A18" s="55" t="s">
        <v>364</v>
      </c>
      <c r="B18" s="45"/>
      <c r="C18" s="45"/>
      <c r="D18" s="45"/>
      <c r="E18" s="45"/>
      <c r="F18" s="45"/>
      <c r="G18" s="45"/>
      <c r="H18" s="45"/>
    </row>
    <row r="19" spans="1:8" ht="30" customHeight="1" x14ac:dyDescent="0.25">
      <c r="A19" s="8" t="s">
        <v>365</v>
      </c>
      <c r="B19" s="8" t="s">
        <v>274</v>
      </c>
      <c r="C19" s="8" t="s">
        <v>275</v>
      </c>
      <c r="D19" s="8" t="s">
        <v>276</v>
      </c>
      <c r="E19" s="8" t="s">
        <v>277</v>
      </c>
      <c r="F19" s="8" t="s">
        <v>278</v>
      </c>
      <c r="G19" s="8"/>
    </row>
    <row r="20" spans="1:8" x14ac:dyDescent="0.25">
      <c r="B20" s="13" t="s">
        <v>280</v>
      </c>
      <c r="C20" s="14">
        <v>254221.99</v>
      </c>
      <c r="D20" s="14">
        <v>305574.83198000002</v>
      </c>
      <c r="E20" s="14">
        <v>351411.05677700002</v>
      </c>
      <c r="F20" s="14">
        <v>393580.38359023997</v>
      </c>
      <c r="G20" s="14">
        <v>432938.42194926413</v>
      </c>
    </row>
    <row r="21" spans="1:8" x14ac:dyDescent="0.25">
      <c r="B21" s="13" t="s">
        <v>288</v>
      </c>
      <c r="C21" s="14">
        <v>100417.68605</v>
      </c>
      <c r="D21" s="14">
        <v>125896.83077576</v>
      </c>
      <c r="E21" s="14">
        <v>148295.46595989401</v>
      </c>
      <c r="F21" s="14">
        <v>169239.56494380321</v>
      </c>
      <c r="G21" s="14">
        <v>185730.5830162343</v>
      </c>
    </row>
    <row r="22" spans="1:8" x14ac:dyDescent="0.25">
      <c r="B22" s="13" t="s">
        <v>293</v>
      </c>
      <c r="C22" s="14">
        <v>81534.148840000009</v>
      </c>
      <c r="D22" s="14">
        <v>101357.46462060801</v>
      </c>
      <c r="E22" s="14">
        <v>118636.37276791521</v>
      </c>
      <c r="F22" s="14">
        <v>134991.65195504259</v>
      </c>
      <c r="G22" s="14">
        <v>147784.46641298741</v>
      </c>
    </row>
    <row r="23" spans="1:8" x14ac:dyDescent="0.25">
      <c r="B23" s="13" t="s">
        <v>366</v>
      </c>
      <c r="C23" s="17">
        <v>33.137281605009733</v>
      </c>
      <c r="D23" s="17">
        <v>42.206880763718587</v>
      </c>
      <c r="E23" s="17">
        <v>50.616902065441167</v>
      </c>
      <c r="F23" s="17">
        <v>59.011247493890963</v>
      </c>
      <c r="G23" s="17">
        <v>66.192205805609262</v>
      </c>
    </row>
    <row r="24" spans="1:8" x14ac:dyDescent="0.25">
      <c r="B24" s="13" t="s">
        <v>323</v>
      </c>
      <c r="C24" s="14">
        <v>130598.99291</v>
      </c>
      <c r="D24" s="14">
        <v>164000.305176508</v>
      </c>
      <c r="E24" s="14">
        <v>191729.87257753121</v>
      </c>
      <c r="F24" s="14">
        <v>216069.21097463201</v>
      </c>
      <c r="G24" s="14">
        <v>235238.0276467388</v>
      </c>
    </row>
    <row r="25" spans="1:8" x14ac:dyDescent="0.25">
      <c r="B25" s="13" t="s">
        <v>367</v>
      </c>
      <c r="C25" s="14">
        <v>50598.992910000023</v>
      </c>
      <c r="D25" s="14">
        <v>76000.305176508031</v>
      </c>
      <c r="E25" s="14">
        <v>101729.87257753121</v>
      </c>
      <c r="F25" s="14">
        <v>141069.21097463201</v>
      </c>
      <c r="G25" s="14">
        <v>175238.0276467388</v>
      </c>
    </row>
    <row r="26" spans="1:8" x14ac:dyDescent="0.25">
      <c r="B26" s="13" t="s">
        <v>346</v>
      </c>
      <c r="C26" s="9">
        <v>0.19903468189356871</v>
      </c>
      <c r="D26" s="9">
        <v>0.24871258108548111</v>
      </c>
      <c r="E26" s="9">
        <v>0.2894896748854644</v>
      </c>
      <c r="F26" s="9">
        <v>0.35842541157107172</v>
      </c>
      <c r="G26" s="9">
        <v>0.40476432389101952</v>
      </c>
    </row>
    <row r="27" spans="1:8" x14ac:dyDescent="0.25">
      <c r="B27" s="13" t="s">
        <v>368</v>
      </c>
      <c r="C27" s="14">
        <v>53304.951310000019</v>
      </c>
      <c r="D27" s="14">
        <v>76349.983755708032</v>
      </c>
      <c r="E27" s="14">
        <v>99626.158511406407</v>
      </c>
      <c r="F27" s="14">
        <v>136422.6706427368</v>
      </c>
      <c r="G27" s="14">
        <v>168078.15929713231</v>
      </c>
    </row>
    <row r="28" spans="1:8" x14ac:dyDescent="0.25">
      <c r="B28" s="13" t="s">
        <v>369</v>
      </c>
      <c r="C28" s="14">
        <v>64618.400000000009</v>
      </c>
      <c r="D28" s="14">
        <v>64618.400000000009</v>
      </c>
      <c r="E28" s="14">
        <v>64618.400000000009</v>
      </c>
      <c r="F28" s="14">
        <v>64618.400000000009</v>
      </c>
      <c r="G28" s="14">
        <v>64618.400000000009</v>
      </c>
    </row>
    <row r="29" spans="1:8" x14ac:dyDescent="0.25">
      <c r="B29" s="13" t="s">
        <v>370</v>
      </c>
      <c r="C29" s="14">
        <v>268410.10723999998</v>
      </c>
      <c r="D29" s="14">
        <v>286077.14319980802</v>
      </c>
      <c r="E29" s="14">
        <v>301102.65870179038</v>
      </c>
      <c r="F29" s="14">
        <v>315115.11162314739</v>
      </c>
      <c r="G29" s="14">
        <v>325594.59806338092</v>
      </c>
    </row>
    <row r="30" spans="1:8" x14ac:dyDescent="0.25">
      <c r="B30" s="13" t="s">
        <v>344</v>
      </c>
      <c r="C30" s="9">
        <v>0.30376705884289179</v>
      </c>
      <c r="D30" s="9">
        <v>0.35430116326985189</v>
      </c>
      <c r="E30" s="9">
        <v>0.3940063939635009</v>
      </c>
      <c r="F30" s="9">
        <v>0.42838837928052731</v>
      </c>
      <c r="G30" s="9">
        <v>0.45389102673079168</v>
      </c>
    </row>
    <row r="32" spans="1:8" x14ac:dyDescent="0.25">
      <c r="A32" s="55" t="s">
        <v>371</v>
      </c>
      <c r="B32" s="45"/>
      <c r="C32" s="45"/>
      <c r="D32" s="45"/>
      <c r="E32" s="45"/>
      <c r="F32" s="45"/>
      <c r="G32" s="45"/>
      <c r="H32" s="45"/>
    </row>
    <row r="33" spans="2:8" x14ac:dyDescent="0.25">
      <c r="B33" s="6" t="s">
        <v>372</v>
      </c>
      <c r="C33" s="51" t="s">
        <v>373</v>
      </c>
      <c r="D33" s="56"/>
      <c r="E33" s="56"/>
      <c r="F33" s="56"/>
      <c r="G33" s="56"/>
      <c r="H33" s="52"/>
    </row>
    <row r="34" spans="2:8" x14ac:dyDescent="0.25">
      <c r="B34" s="6" t="s">
        <v>374</v>
      </c>
      <c r="C34" s="51" t="s">
        <v>375</v>
      </c>
      <c r="D34" s="56"/>
      <c r="E34" s="56"/>
      <c r="F34" s="56"/>
      <c r="G34" s="56"/>
      <c r="H34" s="52"/>
    </row>
    <row r="35" spans="2:8" x14ac:dyDescent="0.25">
      <c r="B35" s="6" t="s">
        <v>376</v>
      </c>
      <c r="C35" s="51" t="s">
        <v>377</v>
      </c>
      <c r="D35" s="56"/>
      <c r="E35" s="56"/>
      <c r="F35" s="56"/>
      <c r="G35" s="56"/>
      <c r="H35" s="52"/>
    </row>
    <row r="36" spans="2:8" x14ac:dyDescent="0.25">
      <c r="B36" s="6" t="s">
        <v>378</v>
      </c>
      <c r="C36" s="51" t="s">
        <v>379</v>
      </c>
      <c r="D36" s="56"/>
      <c r="E36" s="56"/>
      <c r="F36" s="56"/>
      <c r="G36" s="56"/>
      <c r="H36" s="52"/>
    </row>
  </sheetData>
  <mergeCells count="9">
    <mergeCell ref="A1:H1"/>
    <mergeCell ref="A32:H32"/>
    <mergeCell ref="C34:H34"/>
    <mergeCell ref="A18:H18"/>
    <mergeCell ref="C33:H33"/>
    <mergeCell ref="A3:H3"/>
    <mergeCell ref="C36:H36"/>
    <mergeCell ref="A2:H2"/>
    <mergeCell ref="C35:H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7"/>
  <sheetViews>
    <sheetView showGridLines="0" topLeftCell="A10" workbookViewId="0">
      <selection activeCell="C28" sqref="C28"/>
    </sheetView>
  </sheetViews>
  <sheetFormatPr defaultRowHeight="15" x14ac:dyDescent="0.25"/>
  <cols>
    <col min="1" max="1" width="2" customWidth="1"/>
    <col min="2" max="2" width="34" customWidth="1"/>
    <col min="3" max="8" width="16" customWidth="1"/>
  </cols>
  <sheetData>
    <row r="1" spans="1:8" ht="27.95" customHeight="1" x14ac:dyDescent="0.25">
      <c r="A1" s="54" t="s">
        <v>380</v>
      </c>
      <c r="B1" s="45"/>
      <c r="C1" s="45"/>
      <c r="D1" s="45"/>
      <c r="E1" s="45"/>
      <c r="F1" s="45"/>
      <c r="G1" s="45"/>
      <c r="H1" s="45"/>
    </row>
    <row r="2" spans="1:8" ht="15.95" customHeight="1" x14ac:dyDescent="0.25">
      <c r="A2" s="53" t="s">
        <v>381</v>
      </c>
      <c r="B2" s="45"/>
      <c r="C2" s="45"/>
      <c r="D2" s="45"/>
      <c r="E2" s="45"/>
      <c r="F2" s="45"/>
      <c r="G2" s="45"/>
      <c r="H2" s="45"/>
    </row>
    <row r="3" spans="1:8" x14ac:dyDescent="0.25">
      <c r="A3" s="55" t="s">
        <v>382</v>
      </c>
      <c r="B3" s="45"/>
      <c r="C3" s="45"/>
      <c r="D3" s="45"/>
      <c r="E3" s="45"/>
      <c r="F3" s="45"/>
      <c r="G3" s="45"/>
      <c r="H3" s="45"/>
    </row>
    <row r="4" spans="1:8" x14ac:dyDescent="0.25">
      <c r="B4" s="6" t="s">
        <v>383</v>
      </c>
      <c r="C4" s="9">
        <v>4.2000000000000003E-2</v>
      </c>
    </row>
    <row r="5" spans="1:8" x14ac:dyDescent="0.25">
      <c r="B5" s="6" t="s">
        <v>384</v>
      </c>
      <c r="C5" s="9">
        <v>5.5E-2</v>
      </c>
    </row>
    <row r="6" spans="1:8" x14ac:dyDescent="0.25">
      <c r="B6" s="6" t="s">
        <v>385</v>
      </c>
      <c r="C6" s="22">
        <v>1.05</v>
      </c>
    </row>
    <row r="7" spans="1:8" x14ac:dyDescent="0.25">
      <c r="B7" s="6" t="s">
        <v>386</v>
      </c>
      <c r="C7" s="9">
        <v>9.9750000000000005E-2</v>
      </c>
    </row>
    <row r="8" spans="1:8" x14ac:dyDescent="0.25">
      <c r="B8" s="6" t="s">
        <v>387</v>
      </c>
      <c r="C8" s="9">
        <v>4.4999999999999998E-2</v>
      </c>
    </row>
    <row r="9" spans="1:8" x14ac:dyDescent="0.25">
      <c r="B9" s="6" t="s">
        <v>388</v>
      </c>
      <c r="C9" s="9">
        <v>0.2</v>
      </c>
    </row>
    <row r="10" spans="1:8" x14ac:dyDescent="0.25">
      <c r="B10" s="6" t="s">
        <v>389</v>
      </c>
      <c r="C10" s="9">
        <v>3.5999999999999997E-2</v>
      </c>
    </row>
    <row r="11" spans="1:8" x14ac:dyDescent="0.25">
      <c r="B11" s="6" t="s">
        <v>390</v>
      </c>
      <c r="C11" s="7" t="s">
        <v>391</v>
      </c>
    </row>
    <row r="12" spans="1:8" x14ac:dyDescent="0.25">
      <c r="B12" s="6" t="s">
        <v>392</v>
      </c>
      <c r="C12" s="9">
        <v>0.1</v>
      </c>
    </row>
    <row r="14" spans="1:8" x14ac:dyDescent="0.25">
      <c r="A14" s="55" t="s">
        <v>393</v>
      </c>
      <c r="B14" s="45"/>
      <c r="C14" s="45"/>
      <c r="D14" s="45"/>
      <c r="E14" s="45"/>
      <c r="F14" s="45"/>
      <c r="G14" s="45"/>
      <c r="H14" s="45"/>
    </row>
    <row r="15" spans="1:8" ht="30" customHeight="1" x14ac:dyDescent="0.25">
      <c r="A15" s="8" t="s">
        <v>394</v>
      </c>
      <c r="B15" s="8" t="s">
        <v>395</v>
      </c>
      <c r="C15" s="8" t="s">
        <v>396</v>
      </c>
      <c r="D15" s="8" t="s">
        <v>397</v>
      </c>
      <c r="E15" s="8" t="s">
        <v>398</v>
      </c>
      <c r="F15" s="8" t="s">
        <v>399</v>
      </c>
      <c r="G15" s="8" t="s">
        <v>400</v>
      </c>
    </row>
    <row r="16" spans="1:8" x14ac:dyDescent="0.25">
      <c r="B16" s="23" t="s">
        <v>372</v>
      </c>
      <c r="C16" s="15">
        <v>283237.46837967611</v>
      </c>
      <c r="D16" s="15">
        <v>1419450.1561193271</v>
      </c>
      <c r="E16" s="15">
        <v>1702687.6244990029</v>
      </c>
      <c r="F16" s="15">
        <v>-92</v>
      </c>
      <c r="G16" s="15">
        <v>1702595.6244990029</v>
      </c>
      <c r="H16" s="24">
        <v>675.36518226854548</v>
      </c>
    </row>
    <row r="17" spans="1:9" x14ac:dyDescent="0.25">
      <c r="B17" s="16" t="s">
        <v>374</v>
      </c>
      <c r="C17" s="25">
        <v>361275.32117717789</v>
      </c>
      <c r="D17" s="25">
        <v>1732327.5100871171</v>
      </c>
      <c r="E17" s="25">
        <v>2093602.8312642949</v>
      </c>
      <c r="F17" s="25">
        <v>-92</v>
      </c>
      <c r="G17" s="25">
        <v>2093510.8312642949</v>
      </c>
      <c r="H17" s="26">
        <v>830.42873116394094</v>
      </c>
    </row>
    <row r="18" spans="1:9" x14ac:dyDescent="0.25">
      <c r="B18" s="27" t="s">
        <v>376</v>
      </c>
      <c r="C18" s="28">
        <v>189421.0137832601</v>
      </c>
      <c r="D18" s="28">
        <v>1049384.671959982</v>
      </c>
      <c r="E18" s="28">
        <v>1238805.685743242</v>
      </c>
      <c r="F18" s="28">
        <v>-92</v>
      </c>
      <c r="G18" s="28">
        <v>1238713.685743242</v>
      </c>
      <c r="H18" s="29">
        <v>491.35806653837449</v>
      </c>
    </row>
    <row r="20" spans="1:9" x14ac:dyDescent="0.25">
      <c r="B20" s="13" t="s">
        <v>401</v>
      </c>
      <c r="C20" s="30">
        <v>665.6</v>
      </c>
      <c r="D20" s="13" t="s">
        <v>402</v>
      </c>
      <c r="E20" s="31">
        <v>1.467124739865611E-2</v>
      </c>
    </row>
    <row r="22" spans="1:9" x14ac:dyDescent="0.25">
      <c r="A22" s="55" t="s">
        <v>403</v>
      </c>
      <c r="B22" s="45"/>
      <c r="C22" s="45"/>
      <c r="D22" s="45"/>
      <c r="E22" s="45"/>
      <c r="F22" s="45"/>
      <c r="G22" s="45"/>
      <c r="H22" s="45"/>
    </row>
    <row r="23" spans="1:9" ht="30" customHeight="1" x14ac:dyDescent="0.25">
      <c r="A23" s="8" t="s">
        <v>404</v>
      </c>
      <c r="B23" s="8" t="s">
        <v>274</v>
      </c>
      <c r="C23" s="8" t="s">
        <v>275</v>
      </c>
      <c r="D23" s="8" t="s">
        <v>276</v>
      </c>
      <c r="E23" s="8" t="s">
        <v>277</v>
      </c>
      <c r="F23" s="8" t="s">
        <v>278</v>
      </c>
      <c r="G23" s="8"/>
      <c r="H23" s="8"/>
    </row>
    <row r="24" spans="1:9" x14ac:dyDescent="0.25">
      <c r="B24" s="13" t="s">
        <v>405</v>
      </c>
      <c r="C24" s="14">
        <v>26264.791820000039</v>
      </c>
      <c r="D24" s="14"/>
      <c r="E24" s="14"/>
      <c r="F24" s="14"/>
      <c r="G24" s="14"/>
      <c r="H24" s="14"/>
      <c r="I24" s="14"/>
    </row>
    <row r="25" spans="1:9" x14ac:dyDescent="0.25">
      <c r="B25" s="13" t="s">
        <v>406</v>
      </c>
      <c r="C25" s="14">
        <v>48775.29479424801</v>
      </c>
      <c r="D25" s="14"/>
      <c r="E25" s="14"/>
      <c r="F25" s="14"/>
      <c r="G25" s="14"/>
      <c r="H25" s="14"/>
      <c r="I25" s="14"/>
    </row>
    <row r="26" spans="1:9" x14ac:dyDescent="0.25">
      <c r="B26" s="13" t="s">
        <v>407</v>
      </c>
      <c r="C26" s="14">
        <v>72562.754865040246</v>
      </c>
      <c r="D26" s="14"/>
      <c r="E26" s="14"/>
      <c r="F26" s="14"/>
      <c r="G26" s="14"/>
      <c r="H26" s="14"/>
      <c r="I26" s="14"/>
    </row>
    <row r="27" spans="1:9" x14ac:dyDescent="0.25">
      <c r="B27" s="13" t="s">
        <v>408</v>
      </c>
      <c r="C27" s="14">
        <v>110376.3606710031</v>
      </c>
      <c r="D27" s="14"/>
      <c r="E27" s="14"/>
      <c r="F27" s="14"/>
      <c r="G27" s="14"/>
      <c r="H27" s="14"/>
      <c r="I27" s="14"/>
    </row>
    <row r="28" spans="1:9" x14ac:dyDescent="0.25">
      <c r="B28" s="13" t="s">
        <v>409</v>
      </c>
      <c r="C28" s="14">
        <v>143567.64600054399</v>
      </c>
      <c r="D28" s="14"/>
      <c r="E28" s="14"/>
      <c r="F28" s="14"/>
      <c r="G28" s="14"/>
      <c r="H28" s="14"/>
      <c r="I28" s="14"/>
    </row>
    <row r="30" spans="1:9" x14ac:dyDescent="0.25">
      <c r="A30" s="55" t="s">
        <v>410</v>
      </c>
      <c r="B30" s="45"/>
      <c r="C30" s="45"/>
      <c r="D30" s="45"/>
      <c r="E30" s="45"/>
      <c r="F30" s="45"/>
      <c r="G30" s="45"/>
      <c r="H30" s="45"/>
    </row>
    <row r="31" spans="1:9" ht="30" customHeight="1" x14ac:dyDescent="0.25">
      <c r="A31" s="8" t="s">
        <v>411</v>
      </c>
      <c r="B31" s="8" t="s">
        <v>412</v>
      </c>
      <c r="C31" s="8" t="s">
        <v>413</v>
      </c>
      <c r="D31" s="8" t="s">
        <v>414</v>
      </c>
      <c r="E31" s="8" t="s">
        <v>415</v>
      </c>
      <c r="F31" s="8" t="s">
        <v>416</v>
      </c>
      <c r="G31" s="8"/>
      <c r="H31" s="8"/>
    </row>
    <row r="32" spans="1:9" x14ac:dyDescent="0.25">
      <c r="B32" s="6" t="s">
        <v>417</v>
      </c>
      <c r="C32" s="17">
        <v>778.88</v>
      </c>
      <c r="D32" s="17">
        <v>655.39</v>
      </c>
      <c r="E32" s="17">
        <v>563.16</v>
      </c>
      <c r="F32" s="17">
        <v>491.76</v>
      </c>
      <c r="G32" s="17">
        <v>434.92</v>
      </c>
    </row>
    <row r="33" spans="2:7" x14ac:dyDescent="0.25">
      <c r="B33" s="6" t="s">
        <v>418</v>
      </c>
      <c r="C33" s="17">
        <v>842.3</v>
      </c>
      <c r="D33" s="17">
        <v>699.72</v>
      </c>
      <c r="E33" s="17">
        <v>595.58000000000004</v>
      </c>
      <c r="F33" s="17">
        <v>516.28</v>
      </c>
      <c r="G33" s="17">
        <v>453.97</v>
      </c>
    </row>
    <row r="34" spans="2:7" x14ac:dyDescent="0.25">
      <c r="B34" s="6" t="s">
        <v>419</v>
      </c>
      <c r="C34" s="17">
        <v>918.41</v>
      </c>
      <c r="D34" s="17">
        <v>751.45</v>
      </c>
      <c r="E34" s="17">
        <v>632.62</v>
      </c>
      <c r="F34" s="17">
        <v>543.86</v>
      </c>
      <c r="G34" s="17">
        <v>475.13</v>
      </c>
    </row>
    <row r="35" spans="2:7" x14ac:dyDescent="0.25">
      <c r="B35" s="6" t="s">
        <v>420</v>
      </c>
      <c r="C35" s="17">
        <v>1011.43</v>
      </c>
      <c r="D35" s="17">
        <v>812.57</v>
      </c>
      <c r="E35" s="17">
        <v>675.37</v>
      </c>
      <c r="F35" s="17">
        <v>575.12</v>
      </c>
      <c r="G35" s="17">
        <v>498.79</v>
      </c>
    </row>
    <row r="36" spans="2:7" x14ac:dyDescent="0.25">
      <c r="B36" s="6" t="s">
        <v>421</v>
      </c>
      <c r="C36" s="17">
        <v>1127.7</v>
      </c>
      <c r="D36" s="17">
        <v>885.93</v>
      </c>
      <c r="E36" s="17">
        <v>725.23</v>
      </c>
      <c r="F36" s="17">
        <v>610.85</v>
      </c>
      <c r="G36" s="17">
        <v>525.4</v>
      </c>
    </row>
    <row r="37" spans="2:7" x14ac:dyDescent="0.25">
      <c r="B37" s="6" t="s">
        <v>422</v>
      </c>
      <c r="C37" s="17">
        <v>1277.2</v>
      </c>
      <c r="D37" s="17">
        <v>975.58</v>
      </c>
      <c r="E37" s="17">
        <v>784.17</v>
      </c>
      <c r="F37" s="17">
        <v>652.08000000000004</v>
      </c>
      <c r="G37" s="17">
        <v>555.55999999999995</v>
      </c>
    </row>
  </sheetData>
  <mergeCells count="6">
    <mergeCell ref="A3:H3"/>
    <mergeCell ref="A30:H30"/>
    <mergeCell ref="A2:H2"/>
    <mergeCell ref="A14:H14"/>
    <mergeCell ref="A1:H1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showGridLines="0" workbookViewId="0">
      <selection activeCell="D6" sqref="D6:D11"/>
    </sheetView>
  </sheetViews>
  <sheetFormatPr defaultRowHeight="15" x14ac:dyDescent="0.25"/>
  <cols>
    <col min="1" max="1" width="2" customWidth="1"/>
    <col min="2" max="2" width="10" customWidth="1"/>
    <col min="3" max="3" width="30" customWidth="1"/>
    <col min="4" max="4" width="12" customWidth="1"/>
    <col min="5" max="5" width="14" customWidth="1"/>
    <col min="6" max="8" width="12" customWidth="1"/>
    <col min="9" max="9" width="14" customWidth="1"/>
  </cols>
  <sheetData>
    <row r="1" spans="1:9" ht="27.95" customHeight="1" x14ac:dyDescent="0.25">
      <c r="A1" s="54" t="s">
        <v>423</v>
      </c>
      <c r="B1" s="45"/>
      <c r="C1" s="45"/>
      <c r="D1" s="45"/>
      <c r="E1" s="45"/>
      <c r="F1" s="45"/>
      <c r="G1" s="45"/>
      <c r="H1" s="45"/>
      <c r="I1" s="45"/>
    </row>
    <row r="2" spans="1:9" ht="15.95" customHeight="1" x14ac:dyDescent="0.25">
      <c r="A2" s="53" t="s">
        <v>424</v>
      </c>
      <c r="B2" s="45"/>
      <c r="C2" s="45"/>
      <c r="D2" s="45"/>
      <c r="E2" s="45"/>
      <c r="F2" s="45"/>
      <c r="G2" s="45"/>
      <c r="H2" s="45"/>
      <c r="I2" s="45"/>
    </row>
    <row r="3" spans="1:9" ht="30" customHeight="1" x14ac:dyDescent="0.25">
      <c r="A3" s="5" t="s">
        <v>425</v>
      </c>
      <c r="B3" s="5" t="s">
        <v>426</v>
      </c>
      <c r="C3" s="5" t="s">
        <v>427</v>
      </c>
      <c r="D3" s="5" t="s">
        <v>428</v>
      </c>
      <c r="E3" s="5" t="s">
        <v>102</v>
      </c>
      <c r="F3" s="5" t="s">
        <v>429</v>
      </c>
      <c r="G3" s="5" t="s">
        <v>430</v>
      </c>
      <c r="H3" s="5" t="s">
        <v>341</v>
      </c>
      <c r="I3" s="5"/>
    </row>
    <row r="4" spans="1:9" x14ac:dyDescent="0.25">
      <c r="B4" s="23" t="s">
        <v>431</v>
      </c>
      <c r="C4" s="32" t="s">
        <v>432</v>
      </c>
      <c r="D4" s="18">
        <v>665.6</v>
      </c>
      <c r="E4" s="15">
        <v>1680000</v>
      </c>
      <c r="F4" s="33">
        <v>24.3</v>
      </c>
      <c r="G4" s="33">
        <v>19.899999999999999</v>
      </c>
      <c r="H4" s="33">
        <v>15.2</v>
      </c>
      <c r="I4" s="21">
        <v>0.30099999999999999</v>
      </c>
    </row>
    <row r="5" spans="1:9" x14ac:dyDescent="0.25">
      <c r="B5" s="13" t="s">
        <v>433</v>
      </c>
      <c r="C5" s="7" t="s">
        <v>434</v>
      </c>
      <c r="D5" s="17">
        <v>349.48</v>
      </c>
      <c r="E5" s="14">
        <v>4240000</v>
      </c>
      <c r="F5" s="20">
        <v>17</v>
      </c>
      <c r="G5" s="20">
        <v>25.4</v>
      </c>
      <c r="H5" s="20">
        <v>23.7</v>
      </c>
      <c r="I5" s="9">
        <v>0.54800000000000004</v>
      </c>
    </row>
    <row r="6" spans="1:9" x14ac:dyDescent="0.25">
      <c r="B6" s="13" t="s">
        <v>435</v>
      </c>
      <c r="C6" s="7" t="s">
        <v>436</v>
      </c>
      <c r="D6" s="17">
        <v>505.31</v>
      </c>
      <c r="E6" s="14">
        <v>3680000</v>
      </c>
      <c r="F6" s="20">
        <v>27.5</v>
      </c>
      <c r="G6" s="20">
        <v>24.5</v>
      </c>
      <c r="H6" s="20">
        <v>20.5</v>
      </c>
      <c r="I6" s="9">
        <v>0.39</v>
      </c>
    </row>
    <row r="7" spans="1:9" x14ac:dyDescent="0.25">
      <c r="B7" s="13" t="s">
        <v>437</v>
      </c>
      <c r="C7" s="7" t="s">
        <v>438</v>
      </c>
      <c r="D7" s="17">
        <v>333.05</v>
      </c>
      <c r="E7" s="14">
        <v>4890000</v>
      </c>
      <c r="F7" s="20">
        <v>37.9</v>
      </c>
      <c r="G7" s="20">
        <v>32.1</v>
      </c>
      <c r="H7" s="20">
        <v>24</v>
      </c>
      <c r="I7" s="9">
        <v>0.27</v>
      </c>
    </row>
    <row r="8" spans="1:9" x14ac:dyDescent="0.25">
      <c r="B8" s="13" t="s">
        <v>439</v>
      </c>
      <c r="C8" s="7" t="s">
        <v>440</v>
      </c>
      <c r="D8" s="17">
        <v>253.56</v>
      </c>
      <c r="E8" s="14">
        <v>2720000</v>
      </c>
      <c r="F8" s="20">
        <v>20.100000000000001</v>
      </c>
      <c r="G8" s="20">
        <v>25.5</v>
      </c>
      <c r="H8" s="20">
        <v>14</v>
      </c>
      <c r="I8" s="9">
        <v>0.09</v>
      </c>
    </row>
    <row r="9" spans="1:9" x14ac:dyDescent="0.25">
      <c r="B9" s="13" t="s">
        <v>441</v>
      </c>
      <c r="C9" s="7" t="s">
        <v>442</v>
      </c>
      <c r="D9" s="17">
        <v>80.33</v>
      </c>
      <c r="E9" s="14">
        <v>395000</v>
      </c>
      <c r="F9" s="20">
        <v>22</v>
      </c>
      <c r="G9" s="20">
        <v>30</v>
      </c>
      <c r="H9" s="20">
        <v>16</v>
      </c>
      <c r="I9" s="9">
        <v>0.22</v>
      </c>
    </row>
    <row r="10" spans="1:9" x14ac:dyDescent="0.25">
      <c r="B10" s="13" t="s">
        <v>443</v>
      </c>
      <c r="C10" s="7" t="s">
        <v>444</v>
      </c>
      <c r="D10" s="17">
        <v>19.690000000000001</v>
      </c>
      <c r="E10" s="14">
        <v>22000</v>
      </c>
      <c r="F10" s="20">
        <v>43.1</v>
      </c>
      <c r="G10" s="20">
        <v>25</v>
      </c>
      <c r="H10" s="20">
        <v>12</v>
      </c>
      <c r="I10" s="9">
        <v>0.15</v>
      </c>
    </row>
    <row r="11" spans="1:9" x14ac:dyDescent="0.25">
      <c r="B11" s="13" t="s">
        <v>445</v>
      </c>
      <c r="C11" s="7" t="s">
        <v>446</v>
      </c>
      <c r="D11" s="17">
        <v>5.83</v>
      </c>
      <c r="E11" s="14">
        <v>9000</v>
      </c>
      <c r="F11" s="20"/>
      <c r="G11" s="20">
        <v>22</v>
      </c>
      <c r="H11" s="20">
        <v>18</v>
      </c>
      <c r="I11" s="9">
        <v>-0.05</v>
      </c>
    </row>
    <row r="13" spans="1:9" x14ac:dyDescent="0.25">
      <c r="A13" s="55" t="s">
        <v>447</v>
      </c>
      <c r="B13" s="45"/>
      <c r="C13" s="45"/>
      <c r="D13" s="45"/>
      <c r="E13" s="45"/>
      <c r="F13" s="45"/>
      <c r="G13" s="45"/>
      <c r="H13" s="45"/>
      <c r="I13" s="45"/>
    </row>
    <row r="14" spans="1:9" x14ac:dyDescent="0.25">
      <c r="B14" s="57" t="s">
        <v>448</v>
      </c>
      <c r="C14" s="56"/>
      <c r="D14" s="56"/>
      <c r="E14" s="56"/>
      <c r="F14" s="56"/>
      <c r="G14" s="52"/>
      <c r="H14" s="30">
        <v>637.20000000000005</v>
      </c>
      <c r="I14" s="34" t="s">
        <v>449</v>
      </c>
    </row>
    <row r="15" spans="1:9" x14ac:dyDescent="0.25">
      <c r="B15" s="57" t="s">
        <v>450</v>
      </c>
      <c r="C15" s="56"/>
      <c r="D15" s="56"/>
      <c r="E15" s="56"/>
      <c r="F15" s="56"/>
      <c r="G15" s="52"/>
      <c r="H15" s="30">
        <v>793</v>
      </c>
      <c r="I15" s="34" t="s">
        <v>449</v>
      </c>
    </row>
    <row r="16" spans="1:9" x14ac:dyDescent="0.25">
      <c r="B16" s="57" t="s">
        <v>451</v>
      </c>
      <c r="C16" s="56"/>
      <c r="D16" s="56"/>
      <c r="E16" s="56"/>
      <c r="F16" s="56"/>
      <c r="G16" s="52"/>
      <c r="H16" s="30">
        <v>687.09401031336768</v>
      </c>
      <c r="I16" s="34" t="s">
        <v>452</v>
      </c>
    </row>
  </sheetData>
  <mergeCells count="6">
    <mergeCell ref="B16:G16"/>
    <mergeCell ref="A2:I2"/>
    <mergeCell ref="B14:G14"/>
    <mergeCell ref="A13:I13"/>
    <mergeCell ref="A1:I1"/>
    <mergeCell ref="B15:G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"/>
  <sheetViews>
    <sheetView showGridLines="0" workbookViewId="0">
      <selection sqref="A1:H1"/>
    </sheetView>
  </sheetViews>
  <sheetFormatPr defaultRowHeight="15" x14ac:dyDescent="0.25"/>
  <cols>
    <col min="1" max="1" width="2" customWidth="1"/>
    <col min="2" max="2" width="36" customWidth="1"/>
    <col min="3" max="8" width="15" customWidth="1"/>
  </cols>
  <sheetData>
    <row r="1" spans="1:8" ht="27.95" customHeight="1" x14ac:dyDescent="0.25">
      <c r="A1" s="54" t="s">
        <v>453</v>
      </c>
      <c r="B1" s="45"/>
      <c r="C1" s="45"/>
      <c r="D1" s="45"/>
      <c r="E1" s="45"/>
      <c r="F1" s="45"/>
      <c r="G1" s="45"/>
      <c r="H1" s="45"/>
    </row>
    <row r="2" spans="1:8" ht="15.95" customHeight="1" x14ac:dyDescent="0.25">
      <c r="A2" s="53" t="s">
        <v>454</v>
      </c>
      <c r="B2" s="45"/>
      <c r="C2" s="45"/>
      <c r="D2" s="45"/>
      <c r="E2" s="45"/>
      <c r="F2" s="45"/>
      <c r="G2" s="45"/>
      <c r="H2" s="45"/>
    </row>
    <row r="3" spans="1:8" x14ac:dyDescent="0.25">
      <c r="A3" s="55" t="s">
        <v>455</v>
      </c>
      <c r="B3" s="45"/>
      <c r="C3" s="45"/>
      <c r="D3" s="45"/>
      <c r="E3" s="45"/>
      <c r="F3" s="45"/>
      <c r="G3" s="45"/>
      <c r="H3" s="45"/>
    </row>
    <row r="4" spans="1:8" x14ac:dyDescent="0.25">
      <c r="B4" s="6" t="s">
        <v>456</v>
      </c>
      <c r="C4" s="14">
        <v>101892</v>
      </c>
    </row>
    <row r="5" spans="1:8" x14ac:dyDescent="0.25">
      <c r="B5" s="6" t="s">
        <v>457</v>
      </c>
      <c r="C5" s="14">
        <v>1720000</v>
      </c>
    </row>
    <row r="6" spans="1:8" x14ac:dyDescent="0.25">
      <c r="B6" s="6" t="s">
        <v>458</v>
      </c>
      <c r="C6" s="20">
        <v>16.88061869430377</v>
      </c>
    </row>
    <row r="7" spans="1:8" x14ac:dyDescent="0.25">
      <c r="B7" s="6" t="s">
        <v>459</v>
      </c>
      <c r="C7" s="14">
        <v>430000</v>
      </c>
    </row>
    <row r="8" spans="1:8" x14ac:dyDescent="0.25">
      <c r="B8" s="6" t="s">
        <v>460</v>
      </c>
      <c r="C8" s="14">
        <v>1290000</v>
      </c>
    </row>
    <row r="9" spans="1:8" x14ac:dyDescent="0.25">
      <c r="B9" s="6" t="s">
        <v>461</v>
      </c>
      <c r="C9" s="9">
        <v>0.06</v>
      </c>
    </row>
    <row r="10" spans="1:8" x14ac:dyDescent="0.25">
      <c r="B10" s="6" t="s">
        <v>462</v>
      </c>
      <c r="C10" s="9">
        <v>0.12</v>
      </c>
    </row>
    <row r="11" spans="1:8" x14ac:dyDescent="0.25">
      <c r="B11" s="6" t="s">
        <v>463</v>
      </c>
      <c r="C11" s="9">
        <v>0.35</v>
      </c>
    </row>
    <row r="13" spans="1:8" x14ac:dyDescent="0.25">
      <c r="A13" s="55" t="s">
        <v>464</v>
      </c>
      <c r="B13" s="45"/>
      <c r="C13" s="45"/>
      <c r="D13" s="45"/>
      <c r="E13" s="45"/>
      <c r="F13" s="45"/>
      <c r="G13" s="45"/>
      <c r="H13" s="45"/>
    </row>
    <row r="14" spans="1:8" ht="30" customHeight="1" x14ac:dyDescent="0.25">
      <c r="A14" s="8" t="s">
        <v>465</v>
      </c>
      <c r="B14" s="8" t="s">
        <v>466</v>
      </c>
      <c r="C14" s="8" t="s">
        <v>467</v>
      </c>
      <c r="D14" s="8" t="s">
        <v>468</v>
      </c>
      <c r="E14" s="8" t="s">
        <v>469</v>
      </c>
      <c r="F14" s="8" t="s">
        <v>470</v>
      </c>
      <c r="G14" s="8" t="s">
        <v>471</v>
      </c>
    </row>
    <row r="15" spans="1:8" x14ac:dyDescent="0.25">
      <c r="B15" s="14">
        <v>2026</v>
      </c>
      <c r="C15" s="14">
        <v>114119</v>
      </c>
      <c r="D15" s="14">
        <v>39942</v>
      </c>
      <c r="E15" s="14">
        <v>77400</v>
      </c>
      <c r="F15" s="14">
        <v>7344</v>
      </c>
      <c r="G15" s="14">
        <v>-10566</v>
      </c>
      <c r="H15" s="14">
        <v>1300566</v>
      </c>
    </row>
    <row r="16" spans="1:8" x14ac:dyDescent="0.25">
      <c r="B16" s="14">
        <v>2027</v>
      </c>
      <c r="C16" s="14">
        <v>127813</v>
      </c>
      <c r="D16" s="14">
        <v>44735</v>
      </c>
      <c r="E16" s="14">
        <v>78034</v>
      </c>
      <c r="F16" s="14">
        <v>9956</v>
      </c>
      <c r="G16" s="14">
        <v>-4911</v>
      </c>
      <c r="H16" s="14">
        <v>1305478</v>
      </c>
    </row>
    <row r="17" spans="1:8" x14ac:dyDescent="0.25">
      <c r="B17" s="14">
        <v>2028</v>
      </c>
      <c r="C17" s="14">
        <v>143151</v>
      </c>
      <c r="D17" s="14">
        <v>50103</v>
      </c>
      <c r="E17" s="14">
        <v>78329</v>
      </c>
      <c r="F17" s="14">
        <v>12964</v>
      </c>
      <c r="G17" s="14">
        <v>1755</v>
      </c>
      <c r="H17" s="14">
        <v>1303723</v>
      </c>
    </row>
    <row r="18" spans="1:8" x14ac:dyDescent="0.25">
      <c r="B18" s="14">
        <v>2029</v>
      </c>
      <c r="C18" s="14">
        <v>160329</v>
      </c>
      <c r="D18" s="14">
        <v>56115</v>
      </c>
      <c r="E18" s="14">
        <v>78223</v>
      </c>
      <c r="F18" s="14">
        <v>16421</v>
      </c>
      <c r="G18" s="14">
        <v>9569</v>
      </c>
      <c r="H18" s="14">
        <v>1294153</v>
      </c>
    </row>
    <row r="19" spans="1:8" x14ac:dyDescent="0.25">
      <c r="B19" s="14">
        <v>2030</v>
      </c>
      <c r="C19" s="14">
        <v>179569</v>
      </c>
      <c r="D19" s="14">
        <v>62849</v>
      </c>
      <c r="E19" s="14">
        <v>77649</v>
      </c>
      <c r="F19" s="14">
        <v>20384</v>
      </c>
      <c r="G19" s="14">
        <v>18686</v>
      </c>
      <c r="H19" s="14">
        <v>1275467</v>
      </c>
    </row>
    <row r="21" spans="1:8" x14ac:dyDescent="0.25">
      <c r="A21" s="55" t="s">
        <v>472</v>
      </c>
      <c r="B21" s="45"/>
      <c r="C21" s="45"/>
      <c r="D21" s="45"/>
      <c r="E21" s="45"/>
      <c r="F21" s="45"/>
      <c r="G21" s="45"/>
      <c r="H21" s="45"/>
    </row>
    <row r="22" spans="1:8" x14ac:dyDescent="0.25">
      <c r="B22" s="6" t="s">
        <v>473</v>
      </c>
      <c r="C22" s="35">
        <v>3031227.695104002</v>
      </c>
    </row>
    <row r="23" spans="1:8" x14ac:dyDescent="0.25">
      <c r="B23" s="6" t="s">
        <v>474</v>
      </c>
      <c r="C23" s="35">
        <v>1755760.916534795</v>
      </c>
    </row>
    <row r="24" spans="1:8" x14ac:dyDescent="0.25">
      <c r="B24" s="6" t="s">
        <v>475</v>
      </c>
      <c r="C24" s="36">
        <v>4.0831649221739417</v>
      </c>
    </row>
    <row r="25" spans="1:8" x14ac:dyDescent="0.25">
      <c r="B25" s="6" t="s">
        <v>476</v>
      </c>
      <c r="C25" s="31">
        <v>0.32494967923952262</v>
      </c>
    </row>
  </sheetData>
  <mergeCells count="5">
    <mergeCell ref="A3:H3"/>
    <mergeCell ref="A21:H21"/>
    <mergeCell ref="A2:H2"/>
    <mergeCell ref="A13:H1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"/>
  <sheetViews>
    <sheetView showGridLines="0" workbookViewId="0">
      <selection sqref="A1:E1"/>
    </sheetView>
  </sheetViews>
  <sheetFormatPr defaultRowHeight="15" x14ac:dyDescent="0.25"/>
  <cols>
    <col min="1" max="1" width="2" customWidth="1"/>
    <col min="2" max="2" width="36" customWidth="1"/>
    <col min="3" max="3" width="16" customWidth="1"/>
    <col min="4" max="4" width="36" customWidth="1"/>
    <col min="5" max="5" width="16" customWidth="1"/>
  </cols>
  <sheetData>
    <row r="1" spans="1:5" ht="27.95" customHeight="1" x14ac:dyDescent="0.25">
      <c r="A1" s="54" t="s">
        <v>477</v>
      </c>
      <c r="B1" s="45"/>
      <c r="C1" s="45"/>
      <c r="D1" s="45"/>
      <c r="E1" s="45"/>
    </row>
    <row r="2" spans="1:5" ht="15.95" customHeight="1" x14ac:dyDescent="0.25">
      <c r="A2" s="53" t="s">
        <v>478</v>
      </c>
      <c r="B2" s="45"/>
      <c r="C2" s="45"/>
      <c r="D2" s="45"/>
      <c r="E2" s="45"/>
    </row>
    <row r="3" spans="1:5" x14ac:dyDescent="0.25">
      <c r="A3" s="55" t="s">
        <v>479</v>
      </c>
      <c r="B3" s="45"/>
      <c r="C3" s="45"/>
      <c r="D3" s="45"/>
      <c r="E3" s="45"/>
    </row>
    <row r="4" spans="1:5" x14ac:dyDescent="0.25">
      <c r="B4" s="6" t="s">
        <v>480</v>
      </c>
      <c r="C4" s="17">
        <v>27.01229670765569</v>
      </c>
    </row>
    <row r="5" spans="1:5" x14ac:dyDescent="0.25">
      <c r="B5" s="6" t="s">
        <v>481</v>
      </c>
      <c r="C5" s="14">
        <v>1200</v>
      </c>
    </row>
    <row r="6" spans="1:5" x14ac:dyDescent="0.25">
      <c r="B6" s="6" t="s">
        <v>482</v>
      </c>
      <c r="C6" s="17">
        <v>30</v>
      </c>
    </row>
    <row r="7" spans="1:5" x14ac:dyDescent="0.25">
      <c r="B7" s="6" t="s">
        <v>483</v>
      </c>
      <c r="C7" s="9">
        <v>0.35</v>
      </c>
    </row>
    <row r="8" spans="1:5" x14ac:dyDescent="0.25">
      <c r="B8" s="6" t="s">
        <v>484</v>
      </c>
      <c r="C8" s="14">
        <v>4500</v>
      </c>
    </row>
    <row r="9" spans="1:5" x14ac:dyDescent="0.25">
      <c r="B9" s="6" t="s">
        <v>485</v>
      </c>
      <c r="C9" s="14">
        <v>2250</v>
      </c>
    </row>
    <row r="10" spans="1:5" x14ac:dyDescent="0.25">
      <c r="B10" s="6" t="s">
        <v>486</v>
      </c>
      <c r="C10" s="14">
        <v>2250</v>
      </c>
    </row>
    <row r="11" spans="1:5" x14ac:dyDescent="0.25">
      <c r="B11" s="6" t="s">
        <v>487</v>
      </c>
      <c r="C11" s="12">
        <v>3.3804086538461542</v>
      </c>
    </row>
    <row r="12" spans="1:5" x14ac:dyDescent="0.25">
      <c r="B12" s="6" t="s">
        <v>488</v>
      </c>
      <c r="C12" s="14">
        <v>112.5</v>
      </c>
    </row>
    <row r="13" spans="1:5" x14ac:dyDescent="0.25">
      <c r="B13" s="6" t="s">
        <v>489</v>
      </c>
      <c r="C13" s="14">
        <v>180</v>
      </c>
    </row>
    <row r="15" spans="1:5" x14ac:dyDescent="0.25">
      <c r="A15" s="55" t="s">
        <v>490</v>
      </c>
      <c r="B15" s="45"/>
      <c r="C15" s="45"/>
      <c r="D15" s="45"/>
      <c r="E15" s="45"/>
    </row>
    <row r="16" spans="1:5" x14ac:dyDescent="0.25">
      <c r="B16" s="6" t="s">
        <v>491</v>
      </c>
      <c r="C16" s="37">
        <v>69388</v>
      </c>
    </row>
    <row r="17" spans="2:3" x14ac:dyDescent="0.25">
      <c r="B17" s="6" t="s">
        <v>492</v>
      </c>
      <c r="C17" s="38">
        <v>2524.3804086538462</v>
      </c>
    </row>
    <row r="18" spans="2:3" x14ac:dyDescent="0.25">
      <c r="B18" s="6" t="s">
        <v>493</v>
      </c>
      <c r="C18" s="30">
        <v>27.487140908767358</v>
      </c>
    </row>
    <row r="19" spans="2:3" x14ac:dyDescent="0.25">
      <c r="B19" s="6" t="s">
        <v>494</v>
      </c>
      <c r="C19" s="31">
        <v>1.75788162795164E-2</v>
      </c>
    </row>
    <row r="21" spans="2:3" ht="15.75" x14ac:dyDescent="0.25">
      <c r="B21" s="39" t="s">
        <v>495</v>
      </c>
      <c r="C21" s="40" t="s">
        <v>496</v>
      </c>
    </row>
  </sheetData>
  <mergeCells count="4">
    <mergeCell ref="A2:E2"/>
    <mergeCell ref="A15:E15"/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30" customWidth="1"/>
    <col min="3" max="6" width="16" customWidth="1"/>
    <col min="7" max="7" width="40" customWidth="1"/>
  </cols>
  <sheetData>
    <row r="1" spans="1:7" ht="27.95" customHeight="1" x14ac:dyDescent="0.25">
      <c r="A1" s="54" t="s">
        <v>497</v>
      </c>
      <c r="B1" s="45"/>
      <c r="C1" s="45"/>
      <c r="D1" s="45"/>
      <c r="E1" s="45"/>
      <c r="F1" s="45"/>
      <c r="G1" s="45"/>
    </row>
    <row r="2" spans="1:7" ht="15.95" customHeight="1" x14ac:dyDescent="0.25">
      <c r="A2" s="53" t="s">
        <v>498</v>
      </c>
      <c r="B2" s="45"/>
      <c r="C2" s="45"/>
      <c r="D2" s="45"/>
      <c r="E2" s="45"/>
      <c r="F2" s="45"/>
      <c r="G2" s="45"/>
    </row>
    <row r="3" spans="1:7" x14ac:dyDescent="0.25">
      <c r="A3" s="55" t="s">
        <v>499</v>
      </c>
      <c r="B3" s="45"/>
      <c r="C3" s="45"/>
      <c r="D3" s="45"/>
      <c r="E3" s="45"/>
      <c r="F3" s="45"/>
      <c r="G3" s="45"/>
    </row>
    <row r="4" spans="1:7" x14ac:dyDescent="0.25">
      <c r="B4" s="6" t="s">
        <v>500</v>
      </c>
      <c r="C4" s="7" t="s">
        <v>501</v>
      </c>
    </row>
    <row r="5" spans="1:7" x14ac:dyDescent="0.25">
      <c r="B5" s="6" t="s">
        <v>502</v>
      </c>
      <c r="C5" s="7" t="s">
        <v>503</v>
      </c>
    </row>
    <row r="6" spans="1:7" x14ac:dyDescent="0.25">
      <c r="B6" s="6" t="s">
        <v>504</v>
      </c>
      <c r="C6" s="7" t="s">
        <v>505</v>
      </c>
    </row>
    <row r="7" spans="1:7" x14ac:dyDescent="0.25">
      <c r="B7" s="6" t="s">
        <v>506</v>
      </c>
      <c r="C7" s="7" t="s">
        <v>507</v>
      </c>
    </row>
    <row r="8" spans="1:7" x14ac:dyDescent="0.25">
      <c r="B8" s="6" t="s">
        <v>508</v>
      </c>
      <c r="C8" s="7" t="s">
        <v>509</v>
      </c>
    </row>
    <row r="10" spans="1:7" x14ac:dyDescent="0.25">
      <c r="A10" s="55" t="s">
        <v>510</v>
      </c>
      <c r="B10" s="45"/>
      <c r="C10" s="45"/>
      <c r="D10" s="45"/>
      <c r="E10" s="45"/>
      <c r="F10" s="45"/>
      <c r="G10" s="45"/>
    </row>
    <row r="11" spans="1:7" ht="30" customHeight="1" x14ac:dyDescent="0.25">
      <c r="A11" s="8" t="s">
        <v>58</v>
      </c>
      <c r="B11" s="8" t="s">
        <v>511</v>
      </c>
      <c r="C11" s="8" t="s">
        <v>512</v>
      </c>
      <c r="D11" s="8" t="s">
        <v>513</v>
      </c>
      <c r="E11" s="8"/>
      <c r="F11" s="8"/>
    </row>
    <row r="12" spans="1:7" x14ac:dyDescent="0.25">
      <c r="B12" s="6" t="s">
        <v>514</v>
      </c>
      <c r="C12" s="14">
        <v>254190</v>
      </c>
      <c r="D12" s="14">
        <v>305390</v>
      </c>
    </row>
    <row r="13" spans="1:7" x14ac:dyDescent="0.25">
      <c r="B13" s="6" t="s">
        <v>336</v>
      </c>
      <c r="C13" s="9">
        <v>0.26479999999999998</v>
      </c>
      <c r="D13" s="9">
        <v>0.2014</v>
      </c>
    </row>
    <row r="14" spans="1:7" x14ac:dyDescent="0.25">
      <c r="B14" s="6" t="s">
        <v>366</v>
      </c>
      <c r="C14" s="17">
        <v>31.72</v>
      </c>
      <c r="D14" s="17">
        <v>33.89</v>
      </c>
      <c r="E14" s="17">
        <v>39.159999999999997</v>
      </c>
    </row>
    <row r="15" spans="1:7" x14ac:dyDescent="0.25">
      <c r="B15" s="6" t="s">
        <v>515</v>
      </c>
      <c r="C15" s="14">
        <v>63310</v>
      </c>
      <c r="D15" s="14">
        <v>73670</v>
      </c>
    </row>
    <row r="17" spans="1:7" x14ac:dyDescent="0.25">
      <c r="A17" s="55" t="s">
        <v>516</v>
      </c>
      <c r="B17" s="45"/>
      <c r="C17" s="45"/>
      <c r="D17" s="45"/>
      <c r="E17" s="45"/>
      <c r="F17" s="45"/>
      <c r="G17" s="45"/>
    </row>
    <row r="18" spans="1:7" ht="30" customHeight="1" x14ac:dyDescent="0.25">
      <c r="A18" s="8" t="s">
        <v>132</v>
      </c>
      <c r="B18" s="8" t="s">
        <v>517</v>
      </c>
    </row>
    <row r="19" spans="1:7" x14ac:dyDescent="0.25">
      <c r="B19" s="41" t="s">
        <v>518</v>
      </c>
      <c r="C19" s="51" t="s">
        <v>519</v>
      </c>
      <c r="D19" s="56"/>
      <c r="E19" s="56"/>
      <c r="F19" s="56"/>
      <c r="G19" s="52"/>
    </row>
    <row r="20" spans="1:7" x14ac:dyDescent="0.25">
      <c r="B20" s="41" t="s">
        <v>520</v>
      </c>
      <c r="C20" s="51" t="s">
        <v>521</v>
      </c>
      <c r="D20" s="56"/>
      <c r="E20" s="56"/>
      <c r="F20" s="56"/>
      <c r="G20" s="52"/>
    </row>
    <row r="21" spans="1:7" x14ac:dyDescent="0.25">
      <c r="B21" s="41" t="s">
        <v>522</v>
      </c>
      <c r="C21" s="51" t="s">
        <v>523</v>
      </c>
      <c r="D21" s="56"/>
      <c r="E21" s="56"/>
      <c r="F21" s="56"/>
      <c r="G21" s="52"/>
    </row>
    <row r="22" spans="1:7" x14ac:dyDescent="0.25">
      <c r="B22" s="41" t="s">
        <v>524</v>
      </c>
      <c r="C22" s="51" t="s">
        <v>525</v>
      </c>
      <c r="D22" s="56"/>
      <c r="E22" s="56"/>
      <c r="F22" s="56"/>
      <c r="G22" s="52"/>
    </row>
    <row r="23" spans="1:7" x14ac:dyDescent="0.25">
      <c r="B23" s="41" t="s">
        <v>526</v>
      </c>
      <c r="C23" s="51" t="s">
        <v>527</v>
      </c>
      <c r="D23" s="56"/>
      <c r="E23" s="56"/>
      <c r="F23" s="56"/>
      <c r="G23" s="52"/>
    </row>
  </sheetData>
  <mergeCells count="10">
    <mergeCell ref="C23:G23"/>
    <mergeCell ref="C22:G22"/>
    <mergeCell ref="A10:G10"/>
    <mergeCell ref="C21:G21"/>
    <mergeCell ref="A1:G1"/>
    <mergeCell ref="A17:G17"/>
    <mergeCell ref="C20:G20"/>
    <mergeCell ref="A3:G3"/>
    <mergeCell ref="C19:G19"/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showGridLines="0" workbookViewId="0"/>
  </sheetViews>
  <sheetFormatPr defaultRowHeight="15" x14ac:dyDescent="0.25"/>
  <cols>
    <col min="1" max="1" width="2" customWidth="1"/>
    <col min="2" max="2" width="8" customWidth="1"/>
    <col min="3" max="3" width="26" customWidth="1"/>
    <col min="4" max="4" width="70" customWidth="1"/>
    <col min="5" max="5" width="22" customWidth="1"/>
  </cols>
  <sheetData>
    <row r="1" spans="1:6" ht="27.95" customHeight="1" x14ac:dyDescent="0.25">
      <c r="A1" s="54" t="s">
        <v>528</v>
      </c>
      <c r="B1" s="45"/>
      <c r="C1" s="45"/>
      <c r="D1" s="45"/>
      <c r="E1" s="45"/>
    </row>
    <row r="2" spans="1:6" ht="15.95" customHeight="1" x14ac:dyDescent="0.25">
      <c r="A2" s="53" t="s">
        <v>529</v>
      </c>
      <c r="B2" s="45"/>
      <c r="C2" s="45"/>
      <c r="D2" s="45"/>
      <c r="E2" s="45"/>
    </row>
    <row r="3" spans="1:6" ht="30" customHeight="1" x14ac:dyDescent="0.25">
      <c r="A3" s="5" t="s">
        <v>530</v>
      </c>
      <c r="B3" s="5" t="s">
        <v>531</v>
      </c>
      <c r="C3" s="5" t="s">
        <v>532</v>
      </c>
      <c r="D3" s="5" t="s">
        <v>533</v>
      </c>
    </row>
    <row r="4" spans="1:6" x14ac:dyDescent="0.25">
      <c r="B4" s="42">
        <v>1</v>
      </c>
      <c r="C4" s="13" t="s">
        <v>534</v>
      </c>
      <c r="D4" s="7" t="s">
        <v>535</v>
      </c>
      <c r="E4" s="43" t="s">
        <v>536</v>
      </c>
      <c r="F4" s="10" t="s">
        <v>537</v>
      </c>
    </row>
    <row r="5" spans="1:6" x14ac:dyDescent="0.25">
      <c r="B5" s="42">
        <v>2</v>
      </c>
      <c r="C5" s="13" t="s">
        <v>538</v>
      </c>
      <c r="D5" s="7" t="s">
        <v>539</v>
      </c>
      <c r="E5" s="43" t="s">
        <v>540</v>
      </c>
      <c r="F5" s="10" t="s">
        <v>537</v>
      </c>
    </row>
    <row r="6" spans="1:6" x14ac:dyDescent="0.25">
      <c r="B6" s="42">
        <v>3</v>
      </c>
      <c r="C6" s="13" t="s">
        <v>541</v>
      </c>
      <c r="D6" s="7" t="s">
        <v>542</v>
      </c>
      <c r="E6" s="43" t="s">
        <v>540</v>
      </c>
      <c r="F6" s="10" t="s">
        <v>537</v>
      </c>
    </row>
    <row r="7" spans="1:6" x14ac:dyDescent="0.25">
      <c r="B7" s="42">
        <v>4</v>
      </c>
      <c r="C7" s="13" t="s">
        <v>543</v>
      </c>
      <c r="D7" s="7" t="s">
        <v>544</v>
      </c>
      <c r="E7" s="43" t="s">
        <v>540</v>
      </c>
      <c r="F7" s="10" t="s">
        <v>537</v>
      </c>
    </row>
    <row r="8" spans="1:6" x14ac:dyDescent="0.25">
      <c r="B8" s="42">
        <v>5</v>
      </c>
      <c r="C8" s="13" t="s">
        <v>545</v>
      </c>
      <c r="D8" s="7" t="s">
        <v>546</v>
      </c>
      <c r="E8" s="43" t="s">
        <v>547</v>
      </c>
      <c r="F8" s="10" t="s">
        <v>537</v>
      </c>
    </row>
    <row r="9" spans="1:6" x14ac:dyDescent="0.25">
      <c r="B9" s="42">
        <v>6</v>
      </c>
      <c r="C9" s="13" t="s">
        <v>548</v>
      </c>
      <c r="D9" s="7" t="s">
        <v>549</v>
      </c>
      <c r="E9" s="43" t="s">
        <v>550</v>
      </c>
      <c r="F9" s="10" t="s">
        <v>537</v>
      </c>
    </row>
    <row r="10" spans="1:6" x14ac:dyDescent="0.25">
      <c r="B10" s="42">
        <v>7</v>
      </c>
      <c r="C10" s="13" t="s">
        <v>551</v>
      </c>
      <c r="D10" s="7" t="s">
        <v>552</v>
      </c>
      <c r="E10" s="43" t="s">
        <v>553</v>
      </c>
      <c r="F10" s="10" t="s">
        <v>537</v>
      </c>
    </row>
    <row r="11" spans="1:6" x14ac:dyDescent="0.25">
      <c r="B11" s="42">
        <v>8</v>
      </c>
      <c r="C11" s="13" t="s">
        <v>554</v>
      </c>
      <c r="D11" s="7" t="s">
        <v>555</v>
      </c>
      <c r="E11" s="43" t="s">
        <v>556</v>
      </c>
      <c r="F11" s="10" t="s">
        <v>537</v>
      </c>
    </row>
    <row r="12" spans="1:6" x14ac:dyDescent="0.25">
      <c r="B12" s="42">
        <v>9</v>
      </c>
      <c r="C12" s="13" t="s">
        <v>557</v>
      </c>
      <c r="D12" s="7" t="s">
        <v>558</v>
      </c>
      <c r="E12" s="43" t="s">
        <v>559</v>
      </c>
      <c r="F12" s="10" t="s">
        <v>537</v>
      </c>
    </row>
    <row r="14" spans="1:6" ht="39.950000000000003" customHeight="1" x14ac:dyDescent="0.25">
      <c r="B14" s="47" t="s">
        <v>560</v>
      </c>
      <c r="C14" s="45"/>
      <c r="D14" s="45"/>
      <c r="E14" s="45"/>
      <c r="F14" s="45"/>
    </row>
    <row r="15" spans="1:6" x14ac:dyDescent="0.25">
      <c r="B15" s="45"/>
      <c r="C15" s="45"/>
      <c r="D15" s="45"/>
      <c r="E15" s="45"/>
      <c r="F15" s="45"/>
    </row>
    <row r="16" spans="1:6" x14ac:dyDescent="0.25">
      <c r="B16" s="45"/>
      <c r="C16" s="45"/>
      <c r="D16" s="45"/>
      <c r="E16" s="45"/>
      <c r="F16" s="45"/>
    </row>
  </sheetData>
  <mergeCells count="3">
    <mergeCell ref="A2:E2"/>
    <mergeCell ref="A1:E1"/>
    <mergeCell ref="B14:F16"/>
  </mergeCells>
  <hyperlinks>
    <hyperlink ref="E4" r:id="rId1" xr:uid="{00000000-0004-0000-0D00-000000000000}"/>
    <hyperlink ref="E5" r:id="rId2" xr:uid="{00000000-0004-0000-0D00-000001000000}"/>
    <hyperlink ref="E6" r:id="rId3" xr:uid="{00000000-0004-0000-0D00-000002000000}"/>
    <hyperlink ref="E7" r:id="rId4" xr:uid="{00000000-0004-0000-0D00-000003000000}"/>
    <hyperlink ref="E8" r:id="rId5" xr:uid="{00000000-0004-0000-0D00-000004000000}"/>
    <hyperlink ref="E9" r:id="rId6" xr:uid="{00000000-0004-0000-0D00-000005000000}"/>
    <hyperlink ref="E10" r:id="rId7" xr:uid="{00000000-0004-0000-0D00-000006000000}"/>
    <hyperlink ref="E11" r:id="rId8" xr:uid="{00000000-0004-0000-0D00-000007000000}"/>
    <hyperlink ref="E12" r:id="rId9" xr:uid="{00000000-0004-0000-0D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Market &amp; Technicals</vt:lpstr>
      <vt:lpstr>Price History</vt:lpstr>
      <vt:lpstr>Income Statement</vt:lpstr>
      <vt:lpstr>Balance Sheet</vt:lpstr>
      <vt:lpstr>Cash Flow</vt:lpstr>
      <vt:lpstr>Ratios &amp; Margins</vt:lpstr>
      <vt:lpstr>3-Statement Model</vt:lpstr>
      <vt:lpstr>DCF Model</vt:lpstr>
      <vt:lpstr>Comps Analysis</vt:lpstr>
      <vt:lpstr>LBO Model</vt:lpstr>
      <vt:lpstr>Merger Model</vt:lpstr>
      <vt:lpstr>Analyst Estimates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2026-09-15T03:41:33Z</dcterms:created>
  <dcterms:modified xsi:type="dcterms:W3CDTF">2026-09-15T03:47:37Z</dcterms:modified>
</cp:coreProperties>
</file>